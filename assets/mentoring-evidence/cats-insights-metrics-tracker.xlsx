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DASHBOARD" sheetId="1" r:id="rId4"/>
    <sheet state="visible" name="👥 MEMBER REGISTRY" sheetId="2" r:id="rId5"/>
    <sheet state="visible" name="📅 SESSION LOG" sheetId="3" r:id="rId6"/>
    <sheet state="visible" name="✅ ATTENDANCE &amp; ENGAGEMENT" sheetId="4" r:id="rId7"/>
    <sheet state="visible" name="🧪 TEST SCORES" sheetId="5" r:id="rId8"/>
    <sheet state="visible" name="Mistakes" sheetId="6" r:id="rId9"/>
    <sheet state="visible" name="✍️ WRITING QUALITY" sheetId="7" r:id="rId10"/>
    <sheet state="visible" name="📈 INDIVIDUAL PROGRESS" sheetId="8" r:id="rId11"/>
    <sheet state="visible" name="🏆 RSC EVIDENCE LOG" sheetId="9" r:id="rId12"/>
    <sheet state="visible" name="🎓 UCAS EVIDENCE SUMMARY" sheetId="10" r:id="rId13"/>
  </sheets>
  <definedNames>
    <definedName hidden="1" localSheetId="2" name="_xlnm._FilterDatabase">'📅 SESSION LOG'!$A$1:$P$200</definedName>
  </definedNames>
  <calcPr/>
  <extLst>
    <ext uri="GoogleSheetsCustomDataVersion2">
      <go:sheetsCustomData xmlns:go="http://customooxmlschemas.google.com/" r:id="rId14" roundtripDataChecksum="Yp3i/JYNQ5KkiegxyiuM+geIaqGgOYBcQvzRb3RCaF4="/>
    </ext>
  </extLst>
</workbook>
</file>

<file path=xl/sharedStrings.xml><?xml version="1.0" encoding="utf-8"?>
<sst xmlns="http://schemas.openxmlformats.org/spreadsheetml/2006/main" count="959" uniqueCount="437">
  <si>
    <t>CATS INSIGHTS  |  MEMBER PROGRESS &amp; WORKSHOP TRACKER</t>
  </si>
  <si>
    <t>President: Jason  |  Publication: CATS Insights  |  Academic Year: 2025–2026</t>
  </si>
  <si>
    <t>TOTAL
MEMBERS</t>
  </si>
  <si>
    <t>SESSIONS
COMPLETED</t>
  </si>
  <si>
    <t>AVG ATTENDANCE
RATE</t>
  </si>
  <si>
    <t>AVG TEST SCORE
IMPROVEMENT</t>
  </si>
  <si>
    <t>HOW TO USE THIS WORKBOOK</t>
  </si>
  <si>
    <t>📋  MEMBER REGISTRY  →  Add each member once. All other sheets reference this list.</t>
  </si>
  <si>
    <t>📅  SESSION LOG  →  Log each workshop session (date, topic, room) before filling attendance.</t>
  </si>
  <si>
    <t>✅  ATTENDANCE &amp; ENGAGEMENT  →  Score every member 1-5 for participation, focus, and contribution.</t>
  </si>
  <si>
    <t>🧪  TEST SCORES  →  Record Pre-Test and Post-Test scores (%) per session per member.</t>
  </si>
  <si>
    <t>r</t>
  </si>
  <si>
    <t>✍️  WRITING QUALITY  →  Grade submitted work against PEEL / Three-Test / Turnitin criteria.</t>
  </si>
  <si>
    <t>📈  INDIVIDUAL PROGRESS  →  Auto-calculated summary per member.</t>
  </si>
  <si>
    <t>🏆  RSC EVIDENCE LOG  →  Paste specific evidence items (photos, captions, links) for RSC submission.</t>
  </si>
  <si>
    <t>MAINTENANCE NOTES</t>
  </si>
  <si>
    <t xml:space="preserve">Note from MDUC : The AVG Attendance rate code is broken, it's counting the "date" text, not the actual attendance rate, there's not </t>
  </si>
  <si>
    <t xml:space="preserve">please find a way to count attedance rate average only up to the amount of </t>
  </si>
  <si>
    <t>sessions, thanks aung</t>
  </si>
  <si>
    <t>(if you cant, tell duc)</t>
  </si>
  <si>
    <t xml:space="preserve">session code has been "patched" (im not fully sure if the code will break long term so keep watch please) </t>
  </si>
  <si>
    <t>MEMBER REGISTRY  |  Master Roster — All Active Members</t>
  </si>
  <si>
    <t>Active Member Count</t>
  </si>
  <si>
    <t>#</t>
  </si>
  <si>
    <t>Full Name</t>
  </si>
  <si>
    <t>Role / Title</t>
  </si>
  <si>
    <t>Primary Team / Department</t>
  </si>
  <si>
    <t>Secondary Team / Department</t>
  </si>
  <si>
    <t>Status</t>
  </si>
  <si>
    <t>School Year / Age</t>
  </si>
  <si>
    <t>Email / Teams Handle</t>
  </si>
  <si>
    <t>Notes (Personal
Development Goals)</t>
  </si>
  <si>
    <t>Oleksandr Boyko</t>
  </si>
  <si>
    <t>Vice President</t>
  </si>
  <si>
    <t>Leadership</t>
  </si>
  <si>
    <t>Writer</t>
  </si>
  <si>
    <t>Active</t>
  </si>
  <si>
    <t>Year 12</t>
  </si>
  <si>
    <t>monkeydeluffy259@gmail.com</t>
  </si>
  <si>
    <t>Hryhorii Suprun (Grisha)</t>
  </si>
  <si>
    <t>Lead Editor</t>
  </si>
  <si>
    <t>Editor</t>
  </si>
  <si>
    <t>catsinsights210@gmail.com</t>
  </si>
  <si>
    <t>Cindy Dong</t>
  </si>
  <si>
    <t>Part Timer</t>
  </si>
  <si>
    <t>Nothing Else</t>
  </si>
  <si>
    <t>Year 13</t>
  </si>
  <si>
    <t>08cindydong@gmail.com</t>
  </si>
  <si>
    <t>Anna Sazonova</t>
  </si>
  <si>
    <t>strifeweoos@gmail.com</t>
  </si>
  <si>
    <t>Abdulaziz</t>
  </si>
  <si>
    <t>abdulazizmaksumov1@gmail.com</t>
  </si>
  <si>
    <t>Aygul</t>
  </si>
  <si>
    <t>Designer</t>
  </si>
  <si>
    <t>Marketing</t>
  </si>
  <si>
    <t>aygulh1709@gmail.com</t>
  </si>
  <si>
    <t>Bao Tran Uong (Tory)</t>
  </si>
  <si>
    <t>uongbaotran@gmail.com</t>
  </si>
  <si>
    <t>Bianca Alexandra (Alex)</t>
  </si>
  <si>
    <t>Year 10</t>
  </si>
  <si>
    <t>biancalexrodiaz@gmail.com</t>
  </si>
  <si>
    <t>Daniel</t>
  </si>
  <si>
    <t>ojodannybobo@gmail.com</t>
  </si>
  <si>
    <t>Elif</t>
  </si>
  <si>
    <t>elifsudeduru04@gmail.com</t>
  </si>
  <si>
    <t>Eti</t>
  </si>
  <si>
    <t>etiabasiumoren@gmail.com</t>
  </si>
  <si>
    <t>Bao</t>
  </si>
  <si>
    <t>Mascot</t>
  </si>
  <si>
    <t>Huugiabao366@gmail.com</t>
  </si>
  <si>
    <t>Kateryna</t>
  </si>
  <si>
    <t>Deputy Lead Designer</t>
  </si>
  <si>
    <t>katimchenko08@gmail.com</t>
  </si>
  <si>
    <t>Kyal Sin Ye Yint (Jason)</t>
  </si>
  <si>
    <t>President</t>
  </si>
  <si>
    <t>jasonye8675309@gmail.com</t>
  </si>
  <si>
    <t>Min Duc Le</t>
  </si>
  <si>
    <t>Secretary</t>
  </si>
  <si>
    <t>IT</t>
  </si>
  <si>
    <t>lmduc.vn.1211@gmail.com</t>
  </si>
  <si>
    <t>Minh Ngoc (Elain)</t>
  </si>
  <si>
    <t>Lead Designer</t>
  </si>
  <si>
    <t>ngmnbusiness@gmail.com</t>
  </si>
  <si>
    <t>Nurmuhammet</t>
  </si>
  <si>
    <t>nurmuhammetcoc1@gmail.com</t>
  </si>
  <si>
    <t>Phillip</t>
  </si>
  <si>
    <t>philiptinashechapanduka@gmail.com</t>
  </si>
  <si>
    <t>Samuel</t>
  </si>
  <si>
    <t>samueloadebiyi@gmail.com</t>
  </si>
  <si>
    <t>Tawin Chinnawuth (Tob)</t>
  </si>
  <si>
    <t>Head of AD Department</t>
  </si>
  <si>
    <t>tawin1906@gmail.com</t>
  </si>
  <si>
    <t>Tomas</t>
  </si>
  <si>
    <t>tomasrama04@gmail.com</t>
  </si>
  <si>
    <t>Tsz Lok Mok</t>
  </si>
  <si>
    <t>moktszlokaden@gmail.com</t>
  </si>
  <si>
    <t>Aung</t>
  </si>
  <si>
    <t>Deputy Secretary</t>
  </si>
  <si>
    <t>aungkhantpyaet.27@gmail.com</t>
  </si>
  <si>
    <t>SESSION LOG  |  One Row Per Workshop / Event</t>
  </si>
  <si>
    <t>Total Sessions</t>
  </si>
  <si>
    <t>Session
ID</t>
  </si>
  <si>
    <t>Date</t>
  </si>
  <si>
    <t>Session Title /
Topic</t>
  </si>
  <si>
    <t>Lesson Focus</t>
  </si>
  <si>
    <t>Workshop Type</t>
  </si>
  <si>
    <t>Duration
(mins)</t>
  </si>
  <si>
    <t>Room /
Venue</t>
  </si>
  <si>
    <t>Members
Invited</t>
  </si>
  <si>
    <t>Members
Attended</t>
  </si>
  <si>
    <t>Attendance
Rate</t>
  </si>
  <si>
    <t>Key Learning
Objectives</t>
  </si>
  <si>
    <t>Criteria Fufilled</t>
  </si>
  <si>
    <t>Evidence
Captured (Links to Drive)</t>
  </si>
  <si>
    <t>Link to find resources and lesson if absent</t>
  </si>
  <si>
    <t>Session Lead
Notes</t>
  </si>
  <si>
    <t>Total Attendance</t>
  </si>
  <si>
    <t>WE01</t>
  </si>
  <si>
    <t>Writer Lesson 1</t>
  </si>
  <si>
    <t xml:space="preserve">How to navigate the system efficiently </t>
  </si>
  <si>
    <t>Writers Course</t>
  </si>
  <si>
    <t>Room 209</t>
  </si>
  <si>
    <t>What we do and how we do it
How to navigate the system efficiently
Understanding the production pipeline
What research is
Types of research
How to start and find sources
How to read a research paper efficiently</t>
  </si>
  <si>
    <t>Academic Development</t>
  </si>
  <si>
    <t>Photos + Work Samples</t>
  </si>
  <si>
    <t>Lesson 1</t>
  </si>
  <si>
    <t>Not so strong engagement due to many of them being alredy informed about materials of the class; 2 members need follow-up</t>
  </si>
  <si>
    <t>E02</t>
  </si>
  <si>
    <t>Writer's Lesson 2</t>
  </si>
  <si>
    <t>Audience</t>
  </si>
  <si>
    <t>Understand target audience when writing a research article</t>
  </si>
  <si>
    <t>Video</t>
  </si>
  <si>
    <t>Lesson 2</t>
  </si>
  <si>
    <t>E03</t>
  </si>
  <si>
    <t>Academic language</t>
  </si>
  <si>
    <t>Formal writing: how to sound like a scholar</t>
  </si>
  <si>
    <t>Room 303</t>
  </si>
  <si>
    <t>Register &amp; Academic language</t>
  </si>
  <si>
    <t>Video + completed practical exercise</t>
  </si>
  <si>
    <t>Lesson 3</t>
  </si>
  <si>
    <t>All members engaged with the task actively</t>
  </si>
  <si>
    <t>D01</t>
  </si>
  <si>
    <t>Designer's Lesson 1</t>
  </si>
  <si>
    <t xml:space="preserve">Article formatting </t>
  </si>
  <si>
    <t>Designers Course</t>
  </si>
  <si>
    <t>Room 208</t>
  </si>
  <si>
    <t>Format articles &amp; design 101</t>
  </si>
  <si>
    <t>Skills Building</t>
  </si>
  <si>
    <t xml:space="preserve">photos </t>
  </si>
  <si>
    <t>https://www.canva.com/design/DAG_64z4Yys/zpPwtoMJIgD2PasWzaxR0w/edit?utm_content=DAG_64z4Yys&amp;utm_campaign=designshare&amp;utm_medium=link2&amp;utm_source=sharebutton</t>
  </si>
  <si>
    <t>Members were present in the room on time, lackluster participation</t>
  </si>
  <si>
    <t>W02</t>
  </si>
  <si>
    <t>Writers Lesson 2</t>
  </si>
  <si>
    <t>WRITING FOR THE
RIGHT AUDIENCE</t>
  </si>
  <si>
    <t>Room 301</t>
  </si>
  <si>
    <t>Lots of good engagement with the task, silent but focused and not distracted at all, very good at interactions</t>
  </si>
  <si>
    <t>W03</t>
  </si>
  <si>
    <t>Writers Lesson 3</t>
  </si>
  <si>
    <t>ACADEMIC VOICE
AND REGISTER</t>
  </si>
  <si>
    <t>Conference</t>
  </si>
  <si>
    <t>W/E04</t>
  </si>
  <si>
    <t>Writers &amp; Editors Lesson 4</t>
  </si>
  <si>
    <t>Understand the general structue of a research article</t>
  </si>
  <si>
    <t>https://www.canva.com/design/DAHCXDVud8o/0YouO_05IUqjuJgDctsnSA/edit?utm_content=DAHCXDVud8o&amp;utm_campaign=designshare&amp;utm_medium=link2&amp;utm_source=sharebutton</t>
  </si>
  <si>
    <t>D02</t>
  </si>
  <si>
    <t>Designer's Lesson 2</t>
  </si>
  <si>
    <t>Poster</t>
  </si>
  <si>
    <t>Poster design basics</t>
  </si>
  <si>
    <t>https://www.canva.com/design/DAHDjsy2cAs/qTwejWc2sUXcsY8DUJ7-8A/edit?utm_content=DAHDjsy2cAs&amp;utm_campaign=designshare&amp;utm_medium=link2&amp;utm_source=sharebutton</t>
  </si>
  <si>
    <t>Members were present relatively timely, listened n responded attentively</t>
  </si>
  <si>
    <t>E05</t>
  </si>
  <si>
    <t>Editor's Lesson 5</t>
  </si>
  <si>
    <t>Article Structure</t>
  </si>
  <si>
    <t>Editors Course</t>
  </si>
  <si>
    <t>Understand how to read a research article &amp; understand DOI</t>
  </si>
  <si>
    <t>Members were partially</t>
  </si>
  <si>
    <t>E06</t>
  </si>
  <si>
    <t>Editor's Lesson 6</t>
  </si>
  <si>
    <t>Research Methods</t>
  </si>
  <si>
    <t>Organising, Comparing &amp; Evaluating Evidence</t>
  </si>
  <si>
    <t>Lesson 6</t>
  </si>
  <si>
    <t>Members were on time, actively listening and engaging with the presenter</t>
  </si>
  <si>
    <t>W05</t>
  </si>
  <si>
    <t>Writers Lesson 5</t>
  </si>
  <si>
    <t>Research Foundations</t>
  </si>
  <si>
    <t>Understand how to read a research articles &amp; understand DOI</t>
  </si>
  <si>
    <t>Video + exercise</t>
  </si>
  <si>
    <t>Lesson 5</t>
  </si>
  <si>
    <t>D03</t>
  </si>
  <si>
    <t>Designer's Lesson3</t>
  </si>
  <si>
    <t>Magazine</t>
  </si>
  <si>
    <t>Magazine design basics &amp; practical</t>
  </si>
  <si>
    <t>https://www.canva.com/design/DAHEUv3EcOc/ChvbctEy0wsVKk5GrCGmrQ/edit?utm_content=DAHEUv3EcOc&amp;utm_campaign=designshare&amp;utm_medium=link2&amp;utm_source=sharebutton</t>
  </si>
  <si>
    <t>Citation mastery</t>
  </si>
  <si>
    <t>online</t>
  </si>
  <si>
    <t>Understand how to create citation properly, and use citation generator</t>
  </si>
  <si>
    <t>E09</t>
  </si>
  <si>
    <t>Writers Lesson 9</t>
  </si>
  <si>
    <t>Integrity, Editorial Pipeline and checking</t>
  </si>
  <si>
    <t>Room</t>
  </si>
  <si>
    <t>AI Detection, integrity, false positives, proof of authorship, writer's presubmission checklist, submission process and editorial pipeline</t>
  </si>
  <si>
    <t>Lesson 9.pdf</t>
  </si>
  <si>
    <t>Members were active and asked questions and meaningfully engaged with lesson</t>
  </si>
  <si>
    <t>ATTENDANCE &amp; ENGAGEMENT  |  Per-Member, Per-Session Scoring  (0 = Poor → 5 = Excellent)</t>
  </si>
  <si>
    <t>⚠️  Engagement Score = Average of Participation (P), Focus (F), and Contribution (C)  |  Attitude = Effort, Collaboration, Responsiveness to Feedback</t>
  </si>
  <si>
    <t>Member Name</t>
  </si>
  <si>
    <t>Role</t>
  </si>
  <si>
    <t>Attended?
(Y/N)</t>
  </si>
  <si>
    <t>Late?
(Y/N)</t>
  </si>
  <si>
    <t>Participation
Score (1–5)</t>
  </si>
  <si>
    <t>Focus /
Concentration
(1–5)</t>
  </si>
  <si>
    <t>Contribution
Quality
(1–5)</t>
  </si>
  <si>
    <t>Engagement
Average</t>
  </si>
  <si>
    <t>Attitude
&amp; Effort
(1–5)</t>
  </si>
  <si>
    <t>Qualitative Notes
(Specific Observations)</t>
  </si>
  <si>
    <t>Follow-Up
Required?</t>
  </si>
  <si>
    <t>Follow-Up
Action</t>
  </si>
  <si>
    <t>Abdulaziz Maksumov</t>
  </si>
  <si>
    <t>Y</t>
  </si>
  <si>
    <t>N</t>
  </si>
  <si>
    <t>Aung Khant Pyaet</t>
  </si>
  <si>
    <t>Bianca Alexandra</t>
  </si>
  <si>
    <t>Daniel Pelumi Ojo</t>
  </si>
  <si>
    <t>Elif Sude Duru</t>
  </si>
  <si>
    <t xml:space="preserve">Eti Abasi Essien </t>
  </si>
  <si>
    <t>Hryhorii Suprun</t>
  </si>
  <si>
    <t>Minsu Song</t>
  </si>
  <si>
    <t>Phillip Dan Tinashe</t>
  </si>
  <si>
    <t>Tawin Chinnawuth</t>
  </si>
  <si>
    <t>Tomas Rama</t>
  </si>
  <si>
    <t>N/A</t>
  </si>
  <si>
    <t>Asked questions, listened well, misunderstood assignment</t>
  </si>
  <si>
    <t xml:space="preserve">Kateryna </t>
  </si>
  <si>
    <t>Little attention</t>
  </si>
  <si>
    <t>Minh Duc Le</t>
  </si>
  <si>
    <t>Preoccupied with IT issue</t>
  </si>
  <si>
    <t xml:space="preserve">Decent </t>
  </si>
  <si>
    <t xml:space="preserve">Tsk Lok Mok </t>
  </si>
  <si>
    <t>Very inattentive, played with a fidget, misunderstood assignment</t>
  </si>
  <si>
    <t>Very attentive</t>
  </si>
  <si>
    <t>Attentive to the lesson</t>
  </si>
  <si>
    <t>Did not focus at the presentation sometimes</t>
  </si>
  <si>
    <t>No</t>
  </si>
  <si>
    <t>attentive to the completion of practical exercise</t>
  </si>
  <si>
    <t>asked few questions</t>
  </si>
  <si>
    <t>attentive to the completion of practical exercise and to the lesson but not much engagement</t>
  </si>
  <si>
    <t>Yes</t>
  </si>
  <si>
    <t>Attentive to the lesson, asked appropriate questions</t>
  </si>
  <si>
    <t>Though late to class, he's still very focused on the work</t>
  </si>
  <si>
    <t>Nurmuhammet Charryarov</t>
  </si>
  <si>
    <t>Was a bit out of it, asked inappropriate questions, though the question did not hold much significance, so it's all ok</t>
  </si>
  <si>
    <t>Asked appropriate questions</t>
  </si>
  <si>
    <t>Attentive to class, taking notes consistently</t>
  </si>
  <si>
    <t>attentive to class, paid attention to work</t>
  </si>
  <si>
    <t>Elif Sude</t>
  </si>
  <si>
    <t>Did not read up on previous lesson well</t>
  </si>
  <si>
    <t>Decent</t>
  </si>
  <si>
    <t>Preoccupied with IT responsibilities</t>
  </si>
  <si>
    <t>Answered questions well</t>
  </si>
  <si>
    <t>Being a smaller class, he is able to focus towards the lesson better. Asked appropriate questions</t>
  </si>
  <si>
    <t>Asked wuestions relevant to the topic, participated actively</t>
  </si>
  <si>
    <t>More focus is seen, some questions are stated accordingly</t>
  </si>
  <si>
    <t>Decent attitude, inexperienced</t>
  </si>
  <si>
    <t xml:space="preserve">Decent  </t>
  </si>
  <si>
    <t>Decent, straying attention</t>
  </si>
  <si>
    <t>Decent, inexperienced</t>
  </si>
  <si>
    <t>Improved, inexperienced</t>
  </si>
  <si>
    <t>Attentive and asked questions</t>
  </si>
  <si>
    <t>Attentive and contributed meaningfully</t>
  </si>
  <si>
    <t>TEST SCORES  |  Pre-Test vs Post-Test Assessment Record — Measures Learning Gain</t>
  </si>
  <si>
    <t>Score Improvement = Post-Test % − Pre-Test %  |  GREEN ≥ +10pp  |  AMBER +1 to +9pp  |  RED = No Gain</t>
  </si>
  <si>
    <t>Topic
Assessed</t>
  </si>
  <si>
    <t>Test Type
(MCQ/Written/Practical)</t>
  </si>
  <si>
    <t>Previous Test
Score (Raw)</t>
  </si>
  <si>
    <t>Previous Test
Max Marks</t>
  </si>
  <si>
    <t>Previous Test
%</t>
  </si>
  <si>
    <t>Latest Test
Score (Raw)</t>
  </si>
  <si>
    <t>Latest Test
Max Marks</t>
  </si>
  <si>
    <t>Latest Test
%</t>
  </si>
  <si>
    <t>Score
Improvement</t>
  </si>
  <si>
    <t>RAG
Status</t>
  </si>
  <si>
    <t>Marker Comments /
Diagnostic Notes</t>
  </si>
  <si>
    <t>Weak Areas
Identified</t>
  </si>
  <si>
    <t>Follow-Up
Topic Needed</t>
  </si>
  <si>
    <t>S001</t>
  </si>
  <si>
    <t>2026-03-01</t>
  </si>
  <si>
    <t>Alex</t>
  </si>
  <si>
    <t>Science Communication Principles</t>
  </si>
  <si>
    <t>MCQ</t>
  </si>
  <si>
    <t>Strong improvement on Level 2 framing</t>
  </si>
  <si>
    <t>Over-technical in pre-test</t>
  </si>
  <si>
    <t>Level 2 rewriting</t>
  </si>
  <si>
    <t>Grisha</t>
  </si>
  <si>
    <t>Excellent; consistently accurate</t>
  </si>
  <si>
    <t>Minor: jargon control</t>
  </si>
  <si>
    <t>Cindy</t>
  </si>
  <si>
    <t>Good progress; needs more practice</t>
  </si>
  <si>
    <t>Analogy generation weak</t>
  </si>
  <si>
    <t>Analogy workshop</t>
  </si>
  <si>
    <t>S003</t>
  </si>
  <si>
    <t>Level 2 writing</t>
  </si>
  <si>
    <t>Written</t>
  </si>
  <si>
    <t>None</t>
  </si>
  <si>
    <t>Overall, a good rewritten paragraph, including comprehensive contents to leve 2 audiences. However, a little deduction on the flow of narration and some niche vocabularies were used</t>
  </si>
  <si>
    <t>Very good rewritten paragraph. No point to improve in terms of contents, but the paragraph is one sentence.</t>
  </si>
  <si>
    <t>Well rewritten. However, some jargons were still used, such as "LDL", "antioxidants", wihch may still be a bit difficult to engage with level 2 audience.</t>
  </si>
  <si>
    <t>You made an excellent strategic decision to completely translate complex jargon (like "endothelial dysfunction" and "atherogenesis") into plain English rather than just defining them. However, a major grammatical error, recurring formatting issues, and the complete lack of citations brought your score down significantly.</t>
  </si>
  <si>
    <t>You have demonstrated a strong ability to translate Expert (Level 1) density into an Educated Non-Specialist (Level 2) format while retaining scientific precision. However, there are a few formatting and structural rules mandated by the CATS Insights curriculum that you missed.</t>
  </si>
  <si>
    <t>You made a massive leap forward by successfully integrating your in-text citations and linking them to a highly credible bibliography. However, in your effort to define every technical term, you created a single, incredibly dense run-on sentence that severely impacts readability.</t>
  </si>
  <si>
    <t>While your attempt focused heavily on making the text accessible, you overshot the target and landed in Level 3 (General Public) territory, sacrificing the academic standard required by CATS Insights. Additionally, severe grammatical errors and a complete lack of sources significantly impacted your score.</t>
  </si>
  <si>
    <t>While you successfully improved your sentence length and structure, a massive factual error and the complete omission of your sources severely impacted your score.</t>
  </si>
  <si>
    <t>While you successfully retained the scientific precision of the original Expert (Level 1) text, this draft fails several structural and formatting rules mandated by the curriculum, particularly regarding how definitions and citations are supposed to be integrated into the text.</t>
  </si>
  <si>
    <t>ACADEMIC VOICE AND REGISTER</t>
  </si>
  <si>
    <t>Strong academic structure and voice, but penalised for comma splices and excessive sentence length.</t>
  </si>
  <si>
    <t>Excellent objective tone and hedging, but missed the top tier by omitting the required jargon-definition formatting.</t>
  </si>
  <si>
    <t>Good logical progression, but undermined by informal "student" phrasing and subject-verb agreement errors.</t>
  </si>
  <si>
    <t>Able to strongly link the PEEL structure into the given article, with comprehensive summary and abstract, though it is not entirely necessary to indicate the PEEL into the structure. Headings were also not given</t>
  </si>
  <si>
    <t>Well written and comprehensive article, with inclusion of headings, abstract and rearranged article</t>
  </si>
  <si>
    <t>Although evident that the article may already be in PEEL structure, Anna was able to create appropriate headings in accordance to the contents of each paragraph</t>
  </si>
  <si>
    <t>Greatly written abstract and headers</t>
  </si>
  <si>
    <t>Well written headings, though there is an incomplete header</t>
  </si>
  <si>
    <t>Very simple work, which has been done asppropriately</t>
  </si>
  <si>
    <t>Able to identify necessary findings, but the summary needs to get rid of pronouns such as "They" as it is not an element in a research literarture review</t>
  </si>
  <si>
    <t>Aung khant Pyaet</t>
  </si>
  <si>
    <t>Daniel pelumi Ojo</t>
  </si>
  <si>
    <t xml:space="preserve">Due to the high pace of production of the lessons for the writers course, a lot of people were involved in the process to ensure speed and quality. However, with those benefits also came some complications in communication. Consequently, a problem occurred with one of the editors. After completion, the lessons were reviewed and some final corrections were made; however, the editor responsible for the correction of Lesson 7 of the writers course forgot to submit the final draft to the Google Drive. This led to the presenter having a flawed and short presentation during Editor’s Lesson 7.
The problem was spotted immediately after the lesson and was fixed. All the participants were informed about the mistake and invited to attend the respective workshop again. Furthermore, since the mistake was made by the leadership team, it was unfair towards the participants to make it mandatory to attend the session again, so for those who did not attend due to personal reasons, no penalty was introduced; rather, a personal, much more concise session was created to cover the lost content. Moreover, the materials for the class were introduced in written form as well.
So, despite facing the problem, we managed to mitigate the consequences and created an efficient and fair solution, demonstrating resilience and a high level of problem-solving skills.
</t>
  </si>
  <si>
    <t>WRITING QUALITY  |  Article &amp; Assignment Assessment Log — CATS Insights Editorial Standards</t>
  </si>
  <si>
    <t>All scores /10  |  Turnitin &lt;15%  |  GPTZero: Human  |  Oxford citation format  |  PEEL structure enforced</t>
  </si>
  <si>
    <t>Sub
ID</t>
  </si>
  <si>
    <t>Date
Submitted</t>
  </si>
  <si>
    <t>Article / Assignment
Title</t>
  </si>
  <si>
    <t>Stage
(Draft 1/2/Final)</t>
  </si>
  <si>
    <t>Word
Count</t>
  </si>
  <si>
    <t>PEEL
Structure
(/10)</t>
  </si>
  <si>
    <t>Argument
Clarity
(/10)</t>
  </si>
  <si>
    <t>Scientific
Accuracy
(/10)</t>
  </si>
  <si>
    <t>Level 2
Tone
(/10)</t>
  </si>
  <si>
    <t>Citation
Compliance
(/10)</t>
  </si>
  <si>
    <t>Turnitin
%
(&lt;15% = Pass)</t>
  </si>
  <si>
    <t>GPTZero
Result</t>
  </si>
  <si>
    <t>Overall
Quality
Score</t>
  </si>
  <si>
    <t>QA
Gate Status</t>
  </si>
  <si>
    <t>Editor Feedback
Summary</t>
  </si>
  <si>
    <t>Revisions
Required</t>
  </si>
  <si>
    <t>Revision
Deadline</t>
  </si>
  <si>
    <t>INDIVIDUAL PROGRESS SUMMARY  |  Auto-aggregated per Member</t>
  </si>
  <si>
    <t>⚡ All calculated columns update automatically as you log data in other sheets</t>
  </si>
  <si>
    <t>Sessions
Attended</t>
  </si>
  <si>
    <t>Avg
Engagement
Score</t>
  </si>
  <si>
    <t>Avg Pre-Test
%</t>
  </si>
  <si>
    <t>Avg Post-Test
%</t>
  </si>
  <si>
    <t>Avg Test
Improvement</t>
  </si>
  <si>
    <t>Avg Writing
Quality Score</t>
  </si>
  <si>
    <t>Articles /
Assignments
Submitted</t>
  </si>
  <si>
    <t>Articles
Passed QA</t>
  </si>
  <si>
    <t>Overall
Progress
Rating</t>
  </si>
  <si>
    <t>Alex [Deputy VP]</t>
  </si>
  <si>
    <t>Member 4</t>
  </si>
  <si>
    <t>Member 5</t>
  </si>
  <si>
    <t>RSC KENT YOUNG CHEMIST AWARD — EVIDENCE LOG  |  Submission Deadline: 31 March 2026</t>
  </si>
  <si>
    <t>Each row = ONE discrete piece of evidence. Link to file / screenshot. Map to RSC criterion. Quantity + quality matters.</t>
  </si>
  <si>
    <t>Ref
#</t>
  </si>
  <si>
    <t>Evidence Title /
Description</t>
  </si>
  <si>
    <t>RSC Criterion
Category</t>
  </si>
  <si>
    <t>Evidence Type</t>
  </si>
  <si>
    <t>Chemistry Content
(Specific Topic)</t>
  </si>
  <si>
    <t>Audience /
Reach (# people)</t>
  </si>
  <si>
    <t>Measurable
Outcome</t>
  </si>
  <si>
    <t>File Path /
URL / Screenshot</t>
  </si>
  <si>
    <t>Quality Rating
(1–5)</t>
  </si>
  <si>
    <t>Verified by
(President sign-off)</t>
  </si>
  <si>
    <t>Additional
Context Notes</t>
  </si>
  <si>
    <t>E001</t>
  </si>
  <si>
    <t>Writing Chemistry for Non-Chemists — Workshop Delivery</t>
  </si>
  <si>
    <t>Mentoring &amp; Teaching</t>
  </si>
  <si>
    <t>Workshop Delivery</t>
  </si>
  <si>
    <t>3-Level Science Communication Framework</t>
  </si>
  <si>
    <t>9 members attended; avg post-test improvement +35%</t>
  </si>
  <si>
    <t>Google Drive &gt; RSC Evidence &gt; S001_Workshop</t>
  </si>
  <si>
    <t>Jason</t>
  </si>
  <si>
    <t>First formal workshop; pre/post test administered</t>
  </si>
  <si>
    <t>E002</t>
  </si>
  <si>
    <t>Instagram Carousel — White Cliffs of Dover Chemistry</t>
  </si>
  <si>
    <t>Digital Outreach</t>
  </si>
  <si>
    <t>Instagram Post/Carousel</t>
  </si>
  <si>
    <t>Calcium Carbonate — CaCO₃ erosion &amp; chalk geology</t>
  </si>
  <si>
    <t>~200 impressions</t>
  </si>
  <si>
    <t>Carousel posted; engagement data captured</t>
  </si>
  <si>
    <t>Google Drive &gt; RSC Evidence &gt; Instagram_WCD</t>
  </si>
  <si>
    <t>Chemistry of Kent series — post 1</t>
  </si>
  <si>
    <t>E003</t>
  </si>
  <si>
    <t>2026-03-07</t>
  </si>
  <si>
    <t>Blog Article — Pfizer Sandwich &amp; Drug Synthesis</t>
  </si>
  <si>
    <t>Chemistry Communication</t>
  </si>
  <si>
    <t>Blog Article</t>
  </si>
  <si>
    <t>Pharmaceutical synthesis; Pfizer legacy in Kent</t>
  </si>
  <si>
    <t>Online readers</t>
  </si>
  <si>
    <t>Published to CATS website; 800+ word academic article</t>
  </si>
  <si>
    <t>Google Drive &gt; RSC Evidence &gt; Blog_Pfizer</t>
  </si>
  <si>
    <t>Post 4 of Chemistry of Kent series</t>
  </si>
  <si>
    <t>E004</t>
  </si>
  <si>
    <t>2026-03-08</t>
  </si>
  <si>
    <t>PEEL Workshop — Member Writing Assessment</t>
  </si>
  <si>
    <t>Before/After Writing</t>
  </si>
  <si>
    <t>N/A — Writing Mechanics</t>
  </si>
  <si>
    <t>10 members; before/after drafts showing structured improvement</t>
  </si>
  <si>
    <t>Google Drive &gt; RSC Evidence &gt; PEEL_Workshop_Drafts</t>
  </si>
  <si>
    <t>Draft pairs archived for each member</t>
  </si>
  <si>
    <t>UCAS EVIDENCE  |  Mentoring &amp; Teaching Leadership Portfolio</t>
  </si>
  <si>
    <t xml:space="preserve">Use this sheet to curate the strongest evidence for UCAS PS narrative </t>
  </si>
  <si>
    <t>🎯  HEADLINE CLAIM (for PS):</t>
  </si>
  <si>
    <t>For the leadership team, these statistics will be very useful for when you are writing your personal statement or your CV for your university application since these metrics are solid evidence for the impact we have made</t>
  </si>
  <si>
    <t>📊  KEY QUANTITATIVE METRICS TO INCLUDE:</t>
  </si>
  <si>
    <t>Metric</t>
  </si>
  <si>
    <t>Target</t>
  </si>
  <si>
    <t>Actual (from Data)</t>
  </si>
  <si>
    <t>PS Use</t>
  </si>
  <si>
    <t>Total members mentored</t>
  </si>
  <si>
    <t>≥20</t>
  </si>
  <si>
    <t>Demonstrates scale of leadership</t>
  </si>
  <si>
    <t>Sessions delivered</t>
  </si>
  <si>
    <t>≥6</t>
  </si>
  <si>
    <t>Shows sustained programme</t>
  </si>
  <si>
    <t>Avg test score improvement</t>
  </si>
  <si>
    <t>≥+15pp</t>
  </si>
  <si>
    <t>Proves learning gain; measurable teaching impact</t>
  </si>
  <si>
    <t>Avg post-test score</t>
  </si>
  <si>
    <t>≥70%</t>
  </si>
  <si>
    <t>Absolute attainment benchmark</t>
  </si>
  <si>
    <t>Articles passing QA</t>
  </si>
  <si>
    <t>≥15</t>
  </si>
  <si>
    <t>Rigorous output quality</t>
  </si>
  <si>
    <t>RSC evidence items logged</t>
  </si>
  <si>
    <t>Cross-validates with award submission</t>
  </si>
  <si>
    <t>Members showing &gt;10pp improvement</t>
  </si>
  <si>
    <t>≥75% of cohort</t>
  </si>
  <si>
    <t>Strong cohort-level teaching effectiveness</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</si>
</sst>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0%"/>
    <numFmt numFmtId="165" formatCode="yyyy-mm-dd"/>
    <numFmt numFmtId="166" formatCode="dd/mm/yyyy"/>
    <numFmt numFmtId="167" formatCode="d/m/yyyy"/>
    <numFmt numFmtId="168" formatCode="0.0"/>
  </numFmts>
  <fonts count="30">
    <font>
      <sz val="11.0"/>
      <color theme="1"/>
      <name val="Calibri"/>
      <scheme val="minor"/>
    </font>
    <font>
      <b/>
      <sz val="16.0"/>
      <color rgb="FFFFFFFF"/>
      <name val="Arial"/>
    </font>
    <font/>
    <font>
      <sz val="10.0"/>
      <color rgb="FFFFFFFF"/>
      <name val="Arial"/>
    </font>
    <font>
      <b/>
      <sz val="10.0"/>
      <color rgb="FFFFFFFF"/>
      <name val="Arial"/>
    </font>
    <font>
      <color theme="1"/>
      <name val="Calibri"/>
      <scheme val="minor"/>
    </font>
    <font>
      <b/>
      <sz val="18.0"/>
      <color rgb="FF0C2340"/>
      <name val="Arial"/>
    </font>
    <font>
      <b/>
      <sz val="11.0"/>
      <color rgb="FFFFFFFF"/>
      <name val="Arial"/>
    </font>
    <font>
      <sz val="10.0"/>
      <color rgb="FF2D2D2D"/>
      <name val="Arial"/>
    </font>
    <font>
      <color rgb="FFFFFFFF"/>
      <name val="Calibri"/>
      <scheme val="minor"/>
    </font>
    <font>
      <sz val="11.0"/>
      <color theme="1"/>
      <name val="Calibri"/>
    </font>
    <font>
      <b/>
      <sz val="13.0"/>
      <color rgb="FFFFFFFF"/>
      <name val="Arial"/>
    </font>
    <font>
      <b/>
      <sz val="9.0"/>
      <color rgb="FF666666"/>
      <name val="Arial"/>
    </font>
    <font>
      <b/>
      <sz val="11.0"/>
      <color rgb="FF0C2340"/>
      <name val="Arial"/>
    </font>
    <font>
      <sz val="10.0"/>
      <color theme="1"/>
      <name val="Arial"/>
    </font>
    <font>
      <b/>
      <color rgb="FFFFFFFF"/>
      <name val="Arial"/>
    </font>
    <font>
      <sz val="10.0"/>
      <color theme="1"/>
      <name val="Calibri"/>
      <scheme val="minor"/>
    </font>
    <font>
      <u/>
      <sz val="10.0"/>
      <color rgb="FF0000FF"/>
      <name val="Arial"/>
    </font>
    <font>
      <u/>
      <color rgb="FF0000FF"/>
    </font>
    <font>
      <u/>
      <color rgb="FF0000FF"/>
    </font>
    <font>
      <u/>
      <color rgb="FF0000FF"/>
    </font>
    <font>
      <u/>
      <color theme="1"/>
      <name val="Calibri"/>
      <scheme val="minor"/>
    </font>
    <font>
      <b/>
      <sz val="12.0"/>
      <color rgb="FFFFFFFF"/>
      <name val="Arial"/>
    </font>
    <font>
      <sz val="9.0"/>
      <color rgb="FF2D2D2D"/>
      <name val="Arial"/>
    </font>
    <font>
      <b/>
      <sz val="10.0"/>
      <color theme="1"/>
      <name val="Arial"/>
    </font>
    <font>
      <sz val="11.0"/>
      <color rgb="FF000000"/>
      <name val="Arial"/>
    </font>
    <font>
      <sz val="12.0"/>
      <color rgb="FF000000"/>
      <name val="Calibri"/>
      <scheme val="minor"/>
    </font>
    <font>
      <sz val="12.0"/>
      <color theme="1"/>
      <name val="Calibri"/>
      <scheme val="minor"/>
    </font>
    <font>
      <sz val="9.0"/>
      <color rgb="FFFFFFFF"/>
      <name val="Arial"/>
    </font>
    <font>
      <i/>
      <sz val="10.0"/>
      <color rgb="FF2D2D2D"/>
      <name val="Arial"/>
    </font>
  </fonts>
  <fills count="11">
    <fill>
      <patternFill patternType="none"/>
    </fill>
    <fill>
      <patternFill patternType="lightGray"/>
    </fill>
    <fill>
      <patternFill patternType="solid">
        <fgColor rgb="FF0C2340"/>
        <bgColor rgb="FF0C2340"/>
      </patternFill>
    </fill>
    <fill>
      <patternFill patternType="solid">
        <fgColor rgb="FF89764B"/>
        <bgColor rgb="FF89764B"/>
      </patternFill>
    </fill>
    <fill>
      <patternFill patternType="solid">
        <fgColor rgb="FFFFFFFF"/>
        <bgColor rgb="FFFFFFFF"/>
      </patternFill>
    </fill>
    <fill>
      <patternFill patternType="solid">
        <fgColor rgb="FFF5EFE0"/>
        <bgColor rgb="FFF5EFE0"/>
      </patternFill>
    </fill>
    <fill>
      <patternFill patternType="solid">
        <fgColor rgb="FF1A3A6B"/>
        <bgColor rgb="FF1A3A6B"/>
      </patternFill>
    </fill>
    <fill>
      <patternFill patternType="solid">
        <fgColor rgb="FFF2F2F2"/>
        <bgColor rgb="FFF2F2F2"/>
      </patternFill>
    </fill>
    <fill>
      <patternFill patternType="solid">
        <fgColor rgb="FF000000"/>
        <bgColor rgb="FF000000"/>
      </patternFill>
    </fill>
    <fill>
      <patternFill patternType="solid">
        <fgColor rgb="FFCCCCCC"/>
        <bgColor rgb="FFCCCCCC"/>
      </patternFill>
    </fill>
    <fill>
      <patternFill patternType="solid">
        <fgColor rgb="FFD6E4F0"/>
        <bgColor rgb="FFD6E4F0"/>
      </patternFill>
    </fill>
  </fills>
  <borders count="25">
    <border/>
    <border>
      <left style="thin">
        <color rgb="FF666666"/>
      </left>
      <top style="thin">
        <color rgb="FF666666"/>
      </top>
      <bottom style="medium">
        <color rgb="FF0C2340"/>
      </bottom>
    </border>
    <border>
      <top style="thin">
        <color rgb="FF666666"/>
      </top>
      <bottom style="medium">
        <color rgb="FF0C2340"/>
      </bottom>
    </border>
    <border>
      <right/>
      <top style="thin">
        <color rgb="FF666666"/>
      </top>
      <bottom style="medium">
        <color rgb="FF0C2340"/>
      </bottom>
    </border>
    <border>
      <left/>
      <top/>
    </border>
    <border>
      <right/>
      <top/>
    </border>
    <border>
      <left/>
      <bottom/>
    </border>
    <border>
      <right/>
      <bottom/>
    </border>
    <border>
      <left style="thin">
        <color rgb="FF666666"/>
      </left>
      <top style="thin">
        <color rgb="FF666666"/>
      </top>
      <bottom style="thin">
        <color rgb="FF666666"/>
      </bottom>
    </border>
    <border>
      <right/>
      <top style="thin">
        <color rgb="FF666666"/>
      </top>
      <bottom style="thin">
        <color rgb="FF666666"/>
      </bottom>
    </border>
    <border>
      <top style="thin">
        <color rgb="FF666666"/>
      </top>
      <bottom style="thin">
        <color rgb="FF666666"/>
      </bottom>
    </border>
    <border>
      <left style="thin">
        <color rgb="FF666666"/>
      </left>
      <right style="thin">
        <color rgb="FF666666"/>
      </right>
      <top style="thin">
        <color rgb="FF666666"/>
      </top>
      <bottom style="medium">
        <color rgb="FF0C2340"/>
      </bottom>
    </border>
    <border>
      <left style="thin">
        <color rgb="FF666666"/>
      </left>
      <right style="thin">
        <color rgb="FF666666"/>
      </right>
      <top style="thin">
        <color rgb="FF666666"/>
      </top>
    </border>
    <border>
      <left style="thin">
        <color rgb="FF666666"/>
      </left>
      <right style="thin">
        <color rgb="FF666666"/>
      </right>
      <top style="thin">
        <color rgb="FF666666"/>
      </top>
      <bottom style="thin">
        <color rgb="FF666666"/>
      </bottom>
    </border>
    <border>
      <left style="thin">
        <color rgb="FF000000"/>
      </left>
      <right style="thin">
        <color rgb="FF000000"/>
      </right>
      <top style="thin">
        <color rgb="FF000000"/>
      </top>
      <bottom style="thin">
        <color rgb="FF000000"/>
      </bottom>
    </border>
    <border>
      <left style="thin">
        <color rgb="FF666666"/>
      </left>
      <right style="thin">
        <color rgb="FF666666"/>
      </right>
      <top style="thin">
        <color rgb="FF666666"/>
      </top>
      <bottom style="thin">
        <color rgb="FF000000"/>
      </bottom>
    </border>
    <border>
      <left style="thin">
        <color rgb="FF666666"/>
      </left>
      <top style="thin">
        <color rgb="FF666666"/>
      </top>
    </border>
    <border>
      <left style="thin">
        <color rgb="FF000000"/>
      </left>
      <right style="thin">
        <color rgb="FF000000"/>
      </right>
      <top style="thin">
        <color rgb="FF000000"/>
      </top>
    </border>
    <border>
      <top style="thin">
        <color rgb="FF000000"/>
      </top>
    </border>
    <border>
      <top style="thin">
        <color rgb="FF666666"/>
      </top>
    </border>
    <border>
      <left style="thin">
        <color rgb="FF000000"/>
      </left>
      <top style="thin">
        <color rgb="FF000000"/>
      </top>
      <bottom style="thin">
        <color rgb="FF000000"/>
      </bottom>
    </border>
    <border>
      <left style="thin">
        <color rgb="FF000000"/>
      </left>
    </border>
    <border>
      <right style="thin">
        <color rgb="FF666666"/>
      </right>
      <top style="thin">
        <color rgb="FF666666"/>
      </top>
      <bottom style="thin">
        <color rgb="FF666666"/>
      </bottom>
    </border>
    <border>
      <right style="thin">
        <color rgb="FF666666"/>
      </right>
      <top style="thin">
        <color rgb="FF666666"/>
      </top>
    </border>
    <border>
      <left style="thin">
        <color rgb="FF666666"/>
      </left>
      <right style="thin">
        <color rgb="FF666666"/>
      </right>
      <bottom style="thin">
        <color rgb="FF666666"/>
      </bottom>
    </border>
  </borders>
  <cellStyleXfs count="1">
    <xf borderId="0" fillId="0" fontId="0" numFmtId="0" applyAlignment="1" applyFont="1"/>
  </cellStyleXfs>
  <cellXfs count="159">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1" fillId="3" fontId="3" numFmtId="0" xfId="0" applyAlignment="1" applyBorder="1" applyFill="1" applyFont="1">
      <alignment horizontal="center" shrinkToFit="0" vertical="center" wrapText="1"/>
    </xf>
    <xf borderId="4" fillId="2" fontId="4" numFmtId="0" xfId="0" applyAlignment="1" applyBorder="1" applyFont="1">
      <alignment horizontal="center" shrinkToFit="0" vertical="center" wrapText="1"/>
    </xf>
    <xf borderId="5" fillId="0" fontId="2" numFmtId="0" xfId="0" applyBorder="1" applyFont="1"/>
    <xf borderId="6" fillId="0" fontId="2" numFmtId="0" xfId="0" applyBorder="1" applyFont="1"/>
    <xf borderId="7" fillId="0" fontId="2" numFmtId="0" xfId="0" applyBorder="1" applyFont="1"/>
    <xf borderId="0" fillId="4" fontId="5" numFmtId="0" xfId="0" applyAlignment="1" applyFill="1" applyFont="1">
      <alignment readingOrder="0"/>
    </xf>
    <xf borderId="0" fillId="4" fontId="5" numFmtId="0" xfId="0" applyFont="1"/>
    <xf borderId="8" fillId="5" fontId="6" numFmtId="1" xfId="0" applyAlignment="1" applyBorder="1" applyFill="1" applyFont="1" applyNumberFormat="1">
      <alignment horizontal="center" shrinkToFit="0" vertical="center" wrapText="0"/>
    </xf>
    <xf borderId="9" fillId="0" fontId="2" numFmtId="0" xfId="0" applyBorder="1" applyFont="1"/>
    <xf borderId="8" fillId="5" fontId="6" numFmtId="164" xfId="0" applyAlignment="1" applyBorder="1" applyFont="1" applyNumberFormat="1">
      <alignment horizontal="center" shrinkToFit="0" vertical="center" wrapText="0"/>
    </xf>
    <xf borderId="1" fillId="6" fontId="7" numFmtId="0" xfId="0" applyAlignment="1" applyBorder="1" applyFill="1" applyFont="1">
      <alignment horizontal="center" shrinkToFit="0" vertical="center" wrapText="1"/>
    </xf>
    <xf borderId="8" fillId="4" fontId="8" numFmtId="0" xfId="0" applyAlignment="1" applyBorder="1" applyFont="1">
      <alignment horizontal="left" shrinkToFit="0" vertical="center" wrapText="0"/>
    </xf>
    <xf borderId="10" fillId="0" fontId="2" numFmtId="0" xfId="0" applyBorder="1" applyFont="1"/>
    <xf borderId="8" fillId="7" fontId="8" numFmtId="0" xfId="0" applyAlignment="1" applyBorder="1" applyFill="1" applyFont="1">
      <alignment horizontal="left" shrinkToFit="0" vertical="center" wrapText="0"/>
    </xf>
    <xf borderId="0" fillId="0" fontId="5" numFmtId="0" xfId="0" applyAlignment="1" applyFont="1">
      <alignment readingOrder="0"/>
    </xf>
    <xf borderId="8" fillId="7" fontId="8" numFmtId="0" xfId="0" applyAlignment="1" applyBorder="1" applyFont="1">
      <alignment horizontal="left" readingOrder="0" shrinkToFit="0" vertical="center" wrapText="0"/>
    </xf>
    <xf borderId="0" fillId="8" fontId="9" numFmtId="0" xfId="0" applyFill="1" applyFont="1"/>
    <xf borderId="0" fillId="8" fontId="9" numFmtId="0" xfId="0" applyAlignment="1" applyFont="1">
      <alignment readingOrder="0"/>
    </xf>
    <xf borderId="0" fillId="9" fontId="5" numFmtId="0" xfId="0" applyFill="1" applyFont="1"/>
    <xf borderId="0" fillId="9" fontId="10" numFmtId="0" xfId="0" applyAlignment="1" applyFont="1">
      <alignment readingOrder="0" vertical="bottom"/>
    </xf>
    <xf borderId="0" fillId="9" fontId="10" numFmtId="0" xfId="0" applyAlignment="1" applyFont="1">
      <alignment vertical="bottom"/>
    </xf>
    <xf borderId="0" fillId="9" fontId="5" numFmtId="0" xfId="0" applyAlignment="1" applyFont="1">
      <alignment readingOrder="0"/>
    </xf>
    <xf borderId="1" fillId="2" fontId="11" numFmtId="0" xfId="0" applyAlignment="1" applyBorder="1" applyFont="1">
      <alignment horizontal="center" shrinkToFit="0" vertical="center" wrapText="1"/>
    </xf>
    <xf borderId="0" fillId="0" fontId="12" numFmtId="0" xfId="0" applyAlignment="1" applyFont="1">
      <alignment shrinkToFit="0" vertical="bottom" wrapText="0"/>
    </xf>
    <xf borderId="0" fillId="0" fontId="13" numFmtId="0" xfId="0" applyAlignment="1" applyFont="1">
      <alignment shrinkToFit="0" vertical="bottom" wrapText="0"/>
    </xf>
    <xf borderId="11" fillId="2" fontId="7" numFmtId="0" xfId="0" applyAlignment="1" applyBorder="1" applyFont="1">
      <alignment horizontal="center" shrinkToFit="0" vertical="center" wrapText="1"/>
    </xf>
    <xf borderId="11" fillId="2" fontId="7" numFmtId="0" xfId="0" applyAlignment="1" applyBorder="1" applyFont="1">
      <alignment horizontal="center" readingOrder="0" shrinkToFit="0" vertical="center" wrapText="1"/>
    </xf>
    <xf borderId="12" fillId="2" fontId="7" numFmtId="0" xfId="0" applyAlignment="1" applyBorder="1" applyFont="1">
      <alignment horizontal="center" shrinkToFit="0" vertical="center" wrapText="1"/>
    </xf>
    <xf borderId="13" fillId="4" fontId="14" numFmtId="0" xfId="0" applyAlignment="1" applyBorder="1" applyFont="1">
      <alignment horizontal="center" shrinkToFit="0" vertical="center" wrapText="0"/>
    </xf>
    <xf borderId="13" fillId="4" fontId="14" numFmtId="0" xfId="0" applyAlignment="1" applyBorder="1" applyFont="1">
      <alignment horizontal="center" readingOrder="0" shrinkToFit="0" vertical="center" wrapText="0"/>
    </xf>
    <xf borderId="8" fillId="4" fontId="14" numFmtId="0" xfId="0" applyAlignment="1" applyBorder="1" applyFont="1">
      <alignment horizontal="center" readingOrder="0" shrinkToFit="0" vertical="center" wrapText="0"/>
    </xf>
    <xf borderId="14" fillId="0" fontId="5" numFmtId="0" xfId="0" applyAlignment="1" applyBorder="1" applyFont="1">
      <alignment horizontal="center" readingOrder="0" vertical="center"/>
    </xf>
    <xf borderId="14" fillId="0" fontId="5" numFmtId="0" xfId="0" applyBorder="1" applyFont="1"/>
    <xf borderId="13" fillId="7" fontId="14" numFmtId="0" xfId="0" applyAlignment="1" applyBorder="1" applyFont="1">
      <alignment horizontal="center" shrinkToFit="0" vertical="center" wrapText="0"/>
    </xf>
    <xf borderId="13" fillId="7" fontId="14" numFmtId="0" xfId="0" applyAlignment="1" applyBorder="1" applyFont="1">
      <alignment horizontal="center" readingOrder="0" shrinkToFit="0" vertical="center" wrapText="0"/>
    </xf>
    <xf borderId="8" fillId="7" fontId="14" numFmtId="0" xfId="0" applyAlignment="1" applyBorder="1" applyFont="1">
      <alignment horizontal="center" readingOrder="0" shrinkToFit="0" vertical="center" wrapText="0"/>
    </xf>
    <xf borderId="14" fillId="7" fontId="5" numFmtId="0" xfId="0" applyAlignment="1" applyBorder="1" applyFont="1">
      <alignment horizontal="center" readingOrder="0" vertical="center"/>
    </xf>
    <xf borderId="14" fillId="7" fontId="5" numFmtId="0" xfId="0" applyBorder="1" applyFont="1"/>
    <xf borderId="8" fillId="7" fontId="14" numFmtId="0" xfId="0" applyAlignment="1" applyBorder="1" applyFont="1">
      <alignment horizontal="center" shrinkToFit="0" vertical="center" wrapText="0"/>
    </xf>
    <xf borderId="13" fillId="7" fontId="14" numFmtId="0" xfId="0" applyAlignment="1" applyBorder="1" applyFont="1">
      <alignment horizontal="center" readingOrder="0" vertical="center"/>
    </xf>
    <xf borderId="13" fillId="7" fontId="14" numFmtId="0" xfId="0" applyAlignment="1" applyBorder="1" applyFont="1">
      <alignment horizontal="center" vertical="center"/>
    </xf>
    <xf borderId="8" fillId="7" fontId="14" numFmtId="0" xfId="0" applyAlignment="1" applyBorder="1" applyFont="1">
      <alignment horizontal="center" vertical="center"/>
    </xf>
    <xf borderId="13" fillId="4" fontId="14" numFmtId="0" xfId="0" applyAlignment="1" applyBorder="1" applyFont="1">
      <alignment horizontal="center" readingOrder="0" vertical="center"/>
    </xf>
    <xf borderId="13" fillId="4" fontId="14" numFmtId="0" xfId="0" applyAlignment="1" applyBorder="1" applyFont="1">
      <alignment horizontal="center" vertical="center"/>
    </xf>
    <xf borderId="8" fillId="4" fontId="14" numFmtId="0" xfId="0" applyAlignment="1" applyBorder="1" applyFont="1">
      <alignment horizontal="center" readingOrder="0" vertical="center"/>
    </xf>
    <xf borderId="8" fillId="7" fontId="14" numFmtId="0" xfId="0" applyAlignment="1" applyBorder="1" applyFont="1">
      <alignment horizontal="center" readingOrder="0" vertical="center"/>
    </xf>
    <xf borderId="14" fillId="4" fontId="5" numFmtId="0" xfId="0" applyAlignment="1" applyBorder="1" applyFont="1">
      <alignment horizontal="center" readingOrder="0" vertical="center"/>
    </xf>
    <xf borderId="14" fillId="4" fontId="5" numFmtId="0" xfId="0" applyBorder="1" applyFont="1"/>
    <xf borderId="13" fillId="0" fontId="14" numFmtId="0" xfId="0" applyAlignment="1" applyBorder="1" applyFont="1">
      <alignment horizontal="center" readingOrder="0" vertical="center"/>
    </xf>
    <xf borderId="13" fillId="0" fontId="14" numFmtId="0" xfId="0" applyAlignment="1" applyBorder="1" applyFont="1">
      <alignment horizontal="center" vertical="center"/>
    </xf>
    <xf borderId="8" fillId="0" fontId="14" numFmtId="0" xfId="0" applyAlignment="1" applyBorder="1" applyFont="1">
      <alignment horizontal="center" readingOrder="0" vertical="center"/>
    </xf>
    <xf borderId="13" fillId="0" fontId="14" numFmtId="0" xfId="0" applyAlignment="1" applyBorder="1" applyFont="1">
      <alignment horizontal="center" vertical="center"/>
    </xf>
    <xf borderId="8" fillId="0" fontId="14" numFmtId="0" xfId="0" applyAlignment="1" applyBorder="1" applyFont="1">
      <alignment horizontal="center" vertical="center"/>
    </xf>
    <xf borderId="13" fillId="7" fontId="14" numFmtId="0" xfId="0" applyAlignment="1" applyBorder="1" applyFont="1">
      <alignment horizontal="center" vertical="center"/>
    </xf>
    <xf borderId="8" fillId="7" fontId="14" numFmtId="0" xfId="0" applyAlignment="1" applyBorder="1" applyFont="1">
      <alignment horizontal="center" vertical="center"/>
    </xf>
    <xf borderId="13" fillId="4" fontId="14" numFmtId="0" xfId="0" applyAlignment="1" applyBorder="1" applyFont="1">
      <alignment horizontal="center" vertical="center"/>
    </xf>
    <xf borderId="8" fillId="4" fontId="14" numFmtId="0" xfId="0" applyAlignment="1" applyBorder="1" applyFont="1">
      <alignment horizontal="center" vertical="center"/>
    </xf>
    <xf borderId="12" fillId="0" fontId="14" numFmtId="0" xfId="0" applyAlignment="1" applyBorder="1" applyFont="1">
      <alignment horizontal="center" readingOrder="0" vertical="center"/>
    </xf>
    <xf borderId="12" fillId="4" fontId="14" numFmtId="0" xfId="0" applyAlignment="1" applyBorder="1" applyFont="1">
      <alignment horizontal="center" vertical="center"/>
    </xf>
    <xf borderId="15" fillId="4" fontId="14" numFmtId="0" xfId="0" applyAlignment="1" applyBorder="1" applyFont="1">
      <alignment horizontal="center" vertical="center"/>
    </xf>
    <xf borderId="15" fillId="4" fontId="14" numFmtId="0" xfId="0" applyAlignment="1" applyBorder="1" applyFont="1">
      <alignment horizontal="center" vertical="center"/>
    </xf>
    <xf borderId="16" fillId="4" fontId="14" numFmtId="0" xfId="0" applyAlignment="1" applyBorder="1" applyFont="1">
      <alignment horizontal="center" vertical="center"/>
    </xf>
    <xf borderId="17" fillId="0" fontId="5" numFmtId="0" xfId="0" applyAlignment="1" applyBorder="1" applyFont="1">
      <alignment horizontal="center" readingOrder="0" vertical="center"/>
    </xf>
    <xf borderId="17" fillId="0" fontId="5" numFmtId="0" xfId="0" applyBorder="1" applyFont="1"/>
    <xf borderId="18" fillId="4" fontId="14" numFmtId="0" xfId="0" applyAlignment="1" applyBorder="1" applyFont="1">
      <alignment horizontal="center" readingOrder="0" vertical="center"/>
    </xf>
    <xf borderId="0" fillId="4" fontId="14" numFmtId="0" xfId="0" applyAlignment="1" applyFont="1">
      <alignment horizontal="center" readingOrder="0" vertical="center"/>
    </xf>
    <xf borderId="0" fillId="4" fontId="14" numFmtId="0" xfId="0" applyAlignment="1" applyFont="1">
      <alignment horizontal="center" vertical="center"/>
    </xf>
    <xf borderId="18" fillId="0" fontId="5" numFmtId="0" xfId="0" applyBorder="1" applyFont="1"/>
    <xf borderId="0" fillId="0" fontId="14" numFmtId="0" xfId="0" applyAlignment="1" applyFont="1">
      <alignment horizontal="center" readingOrder="0"/>
    </xf>
    <xf borderId="0" fillId="0" fontId="14" numFmtId="0" xfId="0" applyAlignment="1" applyFont="1">
      <alignment horizontal="center"/>
    </xf>
    <xf borderId="0" fillId="0" fontId="5" numFmtId="0" xfId="0" applyFont="1"/>
    <xf borderId="0" fillId="0" fontId="5" numFmtId="0" xfId="0" applyAlignment="1" applyFont="1">
      <alignment horizontal="center" shrinkToFit="0" vertical="center" wrapText="1"/>
    </xf>
    <xf borderId="0" fillId="0" fontId="5" numFmtId="0" xfId="0" applyAlignment="1" applyFont="1">
      <alignment horizontal="center"/>
    </xf>
    <xf borderId="0" fillId="0" fontId="5" numFmtId="0" xfId="0" applyAlignment="1" applyFont="1">
      <alignment shrinkToFit="0" vertical="center" wrapText="1"/>
    </xf>
    <xf borderId="11" fillId="2" fontId="7" numFmtId="164" xfId="0" applyAlignment="1" applyBorder="1" applyFont="1" applyNumberFormat="1">
      <alignment horizontal="center" shrinkToFit="0" vertical="center" wrapText="1"/>
    </xf>
    <xf borderId="0" fillId="2" fontId="15" numFmtId="0" xfId="0" applyAlignment="1" applyFont="1">
      <alignment horizontal="center" readingOrder="0" shrinkToFit="0" vertical="center" wrapText="0"/>
    </xf>
    <xf borderId="13" fillId="7" fontId="16" numFmtId="0" xfId="0" applyAlignment="1" applyBorder="1" applyFont="1">
      <alignment horizontal="center" readingOrder="0" shrinkToFit="0" vertical="center" wrapText="1"/>
    </xf>
    <xf borderId="13" fillId="7" fontId="14" numFmtId="165" xfId="0" applyAlignment="1" applyBorder="1" applyFont="1" applyNumberFormat="1">
      <alignment horizontal="center" readingOrder="0" shrinkToFit="0" vertical="center" wrapText="1"/>
    </xf>
    <xf borderId="13" fillId="7" fontId="14" numFmtId="0" xfId="0" applyAlignment="1" applyBorder="1" applyFont="1">
      <alignment horizontal="center" readingOrder="0" shrinkToFit="0" vertical="center" wrapText="1"/>
    </xf>
    <xf borderId="13" fillId="7" fontId="14" numFmtId="9" xfId="0" applyAlignment="1" applyBorder="1" applyFont="1" applyNumberFormat="1">
      <alignment horizontal="center" readingOrder="0" shrinkToFit="0" vertical="center" wrapText="1"/>
    </xf>
    <xf borderId="13" fillId="7" fontId="14" numFmtId="0" xfId="0" applyAlignment="1" applyBorder="1" applyFont="1">
      <alignment horizontal="center" shrinkToFit="0" vertical="center" wrapText="1"/>
    </xf>
    <xf borderId="13" fillId="7" fontId="17" numFmtId="0" xfId="0" applyAlignment="1" applyBorder="1" applyFont="1">
      <alignment horizontal="center" readingOrder="0" shrinkToFit="0" vertical="center" wrapText="1"/>
    </xf>
    <xf borderId="0" fillId="0" fontId="5" numFmtId="9" xfId="0" applyFont="1" applyNumberFormat="1"/>
    <xf borderId="14" fillId="4" fontId="16" numFmtId="0" xfId="0" applyAlignment="1" applyBorder="1" applyFont="1">
      <alignment horizontal="center" readingOrder="0" vertical="center"/>
    </xf>
    <xf borderId="14" fillId="4" fontId="5" numFmtId="165" xfId="0" applyAlignment="1" applyBorder="1" applyFont="1" applyNumberFormat="1">
      <alignment horizontal="center" readingOrder="0" vertical="center"/>
    </xf>
    <xf borderId="14" fillId="4" fontId="5" numFmtId="0" xfId="0" applyAlignment="1" applyBorder="1" applyFont="1">
      <alignment horizontal="center" readingOrder="0" shrinkToFit="0" vertical="center" wrapText="1"/>
    </xf>
    <xf borderId="10" fillId="4" fontId="8" numFmtId="9" xfId="0" applyAlignment="1" applyBorder="1" applyFont="1" applyNumberFormat="1">
      <alignment horizontal="center" shrinkToFit="0" vertical="center" wrapText="0"/>
    </xf>
    <xf borderId="14" fillId="4" fontId="18" numFmtId="0" xfId="0" applyAlignment="1" applyBorder="1" applyFont="1">
      <alignment horizontal="center" readingOrder="0" shrinkToFit="0" vertical="center" wrapText="1"/>
    </xf>
    <xf borderId="12" fillId="4" fontId="14" numFmtId="0" xfId="0" applyAlignment="1" applyBorder="1" applyFont="1">
      <alignment horizontal="center" shrinkToFit="0" vertical="center" wrapText="1"/>
    </xf>
    <xf borderId="14" fillId="7" fontId="16" numFmtId="0" xfId="0" applyAlignment="1" applyBorder="1" applyFont="1">
      <alignment horizontal="center" readingOrder="0" vertical="center"/>
    </xf>
    <xf borderId="14" fillId="7" fontId="5" numFmtId="165" xfId="0" applyAlignment="1" applyBorder="1" applyFont="1" applyNumberFormat="1">
      <alignment horizontal="center" readingOrder="0" vertical="center"/>
    </xf>
    <xf borderId="14" fillId="7" fontId="5" numFmtId="0" xfId="0" applyAlignment="1" applyBorder="1" applyFont="1">
      <alignment horizontal="center" readingOrder="0" shrinkToFit="0" vertical="center" wrapText="1"/>
    </xf>
    <xf borderId="19" fillId="7" fontId="8" numFmtId="9" xfId="0" applyAlignment="1" applyBorder="1" applyFont="1" applyNumberFormat="1">
      <alignment horizontal="center" shrinkToFit="0" vertical="center" wrapText="0"/>
    </xf>
    <xf borderId="14" fillId="7" fontId="19" numFmtId="0" xfId="0" applyAlignment="1" applyBorder="1" applyFont="1">
      <alignment horizontal="center" readingOrder="0" shrinkToFit="0" vertical="center" wrapText="1"/>
    </xf>
    <xf borderId="14" fillId="0" fontId="16" numFmtId="0" xfId="0" applyAlignment="1" applyBorder="1" applyFont="1">
      <alignment horizontal="center" readingOrder="0" vertical="center"/>
    </xf>
    <xf borderId="14" fillId="0" fontId="5" numFmtId="165" xfId="0" applyAlignment="1" applyBorder="1" applyFont="1" applyNumberFormat="1">
      <alignment horizontal="center" readingOrder="0" vertical="center"/>
    </xf>
    <xf borderId="14" fillId="0" fontId="5" numFmtId="0" xfId="0" applyAlignment="1" applyBorder="1" applyFont="1">
      <alignment horizontal="center" readingOrder="0" shrinkToFit="0" vertical="center" wrapText="1"/>
    </xf>
    <xf borderId="14" fillId="0" fontId="8" numFmtId="9" xfId="0" applyAlignment="1" applyBorder="1" applyFont="1" applyNumberFormat="1">
      <alignment horizontal="center" shrinkToFit="0" vertical="center" wrapText="0"/>
    </xf>
    <xf borderId="14" fillId="0" fontId="20" numFmtId="0" xfId="0" applyAlignment="1" applyBorder="1" applyFont="1">
      <alignment horizontal="center" readingOrder="0" shrinkToFit="0" vertical="center" wrapText="1"/>
    </xf>
    <xf borderId="20" fillId="0" fontId="5" numFmtId="0" xfId="0" applyAlignment="1" applyBorder="1" applyFont="1">
      <alignment horizontal="center" readingOrder="0" shrinkToFit="0" vertical="center" wrapText="1"/>
    </xf>
    <xf borderId="21" fillId="0" fontId="5" numFmtId="0" xfId="0" applyBorder="1" applyFont="1"/>
    <xf borderId="14" fillId="0" fontId="5" numFmtId="0" xfId="0" applyAlignment="1" applyBorder="1" applyFont="1">
      <alignment horizontal="center" shrinkToFit="0" vertical="center" wrapText="1"/>
    </xf>
    <xf borderId="20" fillId="0" fontId="5" numFmtId="0" xfId="0" applyAlignment="1" applyBorder="1" applyFont="1">
      <alignment horizontal="center" shrinkToFit="0" vertical="center" wrapText="1"/>
    </xf>
    <xf borderId="14" fillId="0" fontId="5" numFmtId="0" xfId="0" applyAlignment="1" applyBorder="1" applyFont="1">
      <alignment horizontal="center" readingOrder="0" shrinkToFit="0" vertical="center" wrapText="1"/>
    </xf>
    <xf borderId="14" fillId="0" fontId="5" numFmtId="166" xfId="0" applyAlignment="1" applyBorder="1" applyFont="1" applyNumberFormat="1">
      <alignment horizontal="center" readingOrder="0" vertical="center"/>
    </xf>
    <xf borderId="14" fillId="0" fontId="21" numFmtId="0" xfId="0" applyAlignment="1" applyBorder="1" applyFont="1">
      <alignment horizontal="center" readingOrder="0" shrinkToFit="0" vertical="center" wrapText="1"/>
    </xf>
    <xf borderId="14" fillId="0" fontId="16" numFmtId="0" xfId="0" applyAlignment="1" applyBorder="1" applyFont="1">
      <alignment horizontal="center" vertical="center"/>
    </xf>
    <xf borderId="14" fillId="0" fontId="5" numFmtId="0" xfId="0" applyAlignment="1" applyBorder="1" applyFont="1">
      <alignment horizontal="center" vertical="center"/>
    </xf>
    <xf borderId="1" fillId="2" fontId="22" numFmtId="0" xfId="0" applyAlignment="1" applyBorder="1" applyFont="1">
      <alignment horizontal="center" readingOrder="0" shrinkToFit="0" vertical="center" wrapText="1"/>
    </xf>
    <xf borderId="1" fillId="10" fontId="23" numFmtId="0" xfId="0" applyAlignment="1" applyBorder="1" applyFill="1" applyFont="1">
      <alignment horizontal="center" shrinkToFit="0" vertical="center" wrapText="1"/>
    </xf>
    <xf borderId="14" fillId="0" fontId="5" numFmtId="0" xfId="0" applyAlignment="1" applyBorder="1" applyFont="1">
      <alignment readingOrder="0"/>
    </xf>
    <xf borderId="14" fillId="0" fontId="5" numFmtId="167" xfId="0" applyAlignment="1" applyBorder="1" applyFont="1" applyNumberFormat="1">
      <alignment readingOrder="0"/>
    </xf>
    <xf borderId="14" fillId="0" fontId="24" numFmtId="168" xfId="0" applyAlignment="1" applyBorder="1" applyFont="1" applyNumberFormat="1">
      <alignment horizontal="center" shrinkToFit="0" vertical="center" wrapText="0"/>
    </xf>
    <xf borderId="14" fillId="0" fontId="5" numFmtId="166" xfId="0" applyAlignment="1" applyBorder="1" applyFont="1" applyNumberFormat="1">
      <alignment readingOrder="0"/>
    </xf>
    <xf borderId="14" fillId="0" fontId="10" numFmtId="0" xfId="0" applyAlignment="1" applyBorder="1" applyFont="1">
      <alignment vertical="bottom"/>
    </xf>
    <xf borderId="14" fillId="0" fontId="10" numFmtId="167" xfId="0" applyAlignment="1" applyBorder="1" applyFont="1" applyNumberFormat="1">
      <alignment horizontal="right" vertical="bottom"/>
    </xf>
    <xf borderId="14" fillId="0" fontId="10" numFmtId="0" xfId="0" applyAlignment="1" applyBorder="1" applyFont="1">
      <alignment vertical="bottom"/>
    </xf>
    <xf borderId="14" fillId="0" fontId="10" numFmtId="0" xfId="0" applyAlignment="1" applyBorder="1" applyFont="1">
      <alignment readingOrder="0" vertical="bottom"/>
    </xf>
    <xf borderId="14" fillId="0" fontId="10" numFmtId="167" xfId="0" applyAlignment="1" applyBorder="1" applyFont="1" applyNumberFormat="1">
      <alignment horizontal="right" readingOrder="0" vertical="bottom"/>
    </xf>
    <xf borderId="1" fillId="5" fontId="23" numFmtId="0" xfId="0" applyAlignment="1" applyBorder="1" applyFont="1">
      <alignment horizontal="center" shrinkToFit="0" vertical="center" wrapText="1"/>
    </xf>
    <xf borderId="13" fillId="4" fontId="14" numFmtId="0" xfId="0" applyAlignment="1" applyBorder="1" applyFont="1">
      <alignment horizontal="center" shrinkToFit="0" vertical="center" wrapText="1"/>
    </xf>
    <xf borderId="13" fillId="0" fontId="14" numFmtId="9" xfId="0" applyAlignment="1" applyBorder="1" applyFont="1" applyNumberFormat="1">
      <alignment horizontal="center" shrinkToFit="0" vertical="center" wrapText="0"/>
    </xf>
    <xf borderId="13" fillId="0" fontId="24" numFmtId="9" xfId="0" applyAlignment="1" applyBorder="1" applyFont="1" applyNumberFormat="1">
      <alignment horizontal="center" shrinkToFit="0" vertical="center" wrapText="0"/>
    </xf>
    <xf borderId="13" fillId="0" fontId="14" numFmtId="0" xfId="0" applyAlignment="1" applyBorder="1" applyFont="1">
      <alignment horizontal="center" shrinkToFit="0" vertical="center" wrapText="0"/>
    </xf>
    <xf borderId="12" fillId="0" fontId="14" numFmtId="9" xfId="0" applyAlignment="1" applyBorder="1" applyFont="1" applyNumberFormat="1">
      <alignment horizontal="center" shrinkToFit="0" vertical="center" wrapText="0"/>
    </xf>
    <xf borderId="14" fillId="0" fontId="5" numFmtId="165" xfId="0" applyAlignment="1" applyBorder="1" applyFont="1" applyNumberFormat="1">
      <alignment readingOrder="0"/>
    </xf>
    <xf borderId="14" fillId="0" fontId="14" numFmtId="9" xfId="0" applyAlignment="1" applyBorder="1" applyFont="1" applyNumberFormat="1">
      <alignment horizontal="center" shrinkToFit="0" vertical="center" wrapText="0"/>
    </xf>
    <xf borderId="22" fillId="0" fontId="14" numFmtId="9" xfId="0" applyAlignment="1" applyBorder="1" applyFont="1" applyNumberFormat="1">
      <alignment horizontal="center" shrinkToFit="0" vertical="center" wrapText="0"/>
    </xf>
    <xf borderId="23" fillId="0" fontId="14" numFmtId="9" xfId="0" applyAlignment="1" applyBorder="1" applyFont="1" applyNumberFormat="1">
      <alignment horizontal="center" shrinkToFit="0" vertical="center" wrapText="0"/>
    </xf>
    <xf borderId="22" fillId="0" fontId="24" numFmtId="9" xfId="0" applyAlignment="1" applyBorder="1" applyFont="1" applyNumberFormat="1">
      <alignment horizontal="center" shrinkToFit="0" vertical="center" wrapText="0"/>
    </xf>
    <xf borderId="0" fillId="0" fontId="25" numFmtId="0" xfId="0" applyAlignment="1" applyFont="1">
      <alignment readingOrder="0"/>
    </xf>
    <xf borderId="0" fillId="0" fontId="26" numFmtId="0" xfId="0" applyAlignment="1" applyFont="1">
      <alignment readingOrder="0"/>
    </xf>
    <xf borderId="0" fillId="0" fontId="26" numFmtId="0" xfId="0" applyAlignment="1" applyFont="1">
      <alignment readingOrder="0"/>
    </xf>
    <xf borderId="0" fillId="0" fontId="27" numFmtId="0" xfId="0" applyFont="1"/>
    <xf borderId="0" fillId="0" fontId="5" numFmtId="166" xfId="0" applyAlignment="1" applyFont="1" applyNumberFormat="1">
      <alignment readingOrder="0"/>
    </xf>
    <xf borderId="24" fillId="0" fontId="14" numFmtId="9" xfId="0" applyAlignment="1" applyBorder="1" applyFont="1" applyNumberFormat="1">
      <alignment horizontal="center" shrinkToFit="0" vertical="center" wrapText="0"/>
    </xf>
    <xf borderId="0" fillId="0" fontId="5" numFmtId="0" xfId="0" applyAlignment="1" applyFont="1">
      <alignment readingOrder="0" shrinkToFit="0" wrapText="1"/>
    </xf>
    <xf borderId="1" fillId="2" fontId="22" numFmtId="0" xfId="0" applyAlignment="1" applyBorder="1" applyFont="1">
      <alignment horizontal="center" shrinkToFit="0" vertical="center" wrapText="1"/>
    </xf>
    <xf borderId="13" fillId="0" fontId="24" numFmtId="168" xfId="0" applyAlignment="1" applyBorder="1" applyFont="1" applyNumberFormat="1">
      <alignment horizontal="center" shrinkToFit="0" vertical="center" wrapText="0"/>
    </xf>
    <xf borderId="13" fillId="4" fontId="24" numFmtId="0" xfId="0" applyAlignment="1" applyBorder="1" applyFont="1">
      <alignment horizontal="center" shrinkToFit="0" vertical="center" wrapText="1"/>
    </xf>
    <xf borderId="13" fillId="4" fontId="14" numFmtId="9" xfId="0" applyAlignment="1" applyBorder="1" applyFont="1" applyNumberFormat="1">
      <alignment horizontal="center" shrinkToFit="0" vertical="center" wrapText="1"/>
    </xf>
    <xf borderId="13" fillId="7" fontId="24" numFmtId="0" xfId="0" applyAlignment="1" applyBorder="1" applyFont="1">
      <alignment horizontal="center" shrinkToFit="0" vertical="center" wrapText="1"/>
    </xf>
    <xf borderId="13" fillId="7" fontId="14" numFmtId="9" xfId="0" applyAlignment="1" applyBorder="1" applyFont="1" applyNumberFormat="1">
      <alignment horizontal="center" shrinkToFit="0" vertical="center" wrapText="1"/>
    </xf>
    <xf borderId="1" fillId="6" fontId="28" numFmtId="0" xfId="0" applyAlignment="1" applyBorder="1" applyFont="1">
      <alignment horizontal="center" shrinkToFit="0" vertical="center" wrapText="1"/>
    </xf>
    <xf borderId="13" fillId="4" fontId="14" numFmtId="0" xfId="0" applyAlignment="1" applyBorder="1" applyFont="1">
      <alignment horizontal="left" shrinkToFit="0" vertical="center" wrapText="1"/>
    </xf>
    <xf borderId="13" fillId="5" fontId="14" numFmtId="0" xfId="0" applyAlignment="1" applyBorder="1" applyFont="1">
      <alignment horizontal="center" shrinkToFit="0" vertical="center" wrapText="1"/>
    </xf>
    <xf borderId="13" fillId="5" fontId="14" numFmtId="0" xfId="0" applyAlignment="1" applyBorder="1" applyFont="1">
      <alignment horizontal="left" shrinkToFit="0" vertical="center" wrapText="1"/>
    </xf>
    <xf borderId="1" fillId="2" fontId="11" numFmtId="0" xfId="0" applyAlignment="1" applyBorder="1" applyFont="1">
      <alignment horizontal="center" readingOrder="0" shrinkToFit="0" vertical="center" wrapText="1"/>
    </xf>
    <xf borderId="1" fillId="5" fontId="23" numFmtId="0" xfId="0" applyAlignment="1" applyBorder="1" applyFont="1">
      <alignment horizontal="center" readingOrder="0" shrinkToFit="0" vertical="center" wrapText="1"/>
    </xf>
    <xf borderId="8" fillId="6" fontId="7" numFmtId="0" xfId="0" applyAlignment="1" applyBorder="1" applyFont="1">
      <alignment horizontal="left" shrinkToFit="0" vertical="center" wrapText="1"/>
    </xf>
    <xf borderId="8" fillId="5" fontId="29" numFmtId="0" xfId="0" applyAlignment="1" applyBorder="1" applyFont="1">
      <alignment horizontal="left" readingOrder="0" shrinkToFit="0" vertical="center" wrapText="1"/>
    </xf>
    <xf borderId="11" fillId="2" fontId="4" numFmtId="0" xfId="0" applyAlignment="1" applyBorder="1" applyFont="1">
      <alignment horizontal="center" shrinkToFit="0" vertical="center" wrapText="0"/>
    </xf>
    <xf borderId="13" fillId="4" fontId="24" numFmtId="0" xfId="0" applyAlignment="1" applyBorder="1" applyFont="1">
      <alignment horizontal="left" shrinkToFit="0" vertical="center" wrapText="1"/>
    </xf>
    <xf borderId="13" fillId="7" fontId="24" numFmtId="0" xfId="0" applyAlignment="1" applyBorder="1" applyFont="1">
      <alignment horizontal="left" shrinkToFit="0" vertical="center" wrapText="1"/>
    </xf>
    <xf borderId="13" fillId="7" fontId="14" numFmtId="0" xfId="0" applyAlignment="1" applyBorder="1" applyFont="1">
      <alignment horizontal="left" shrinkToFit="0" vertical="center" wrapText="1"/>
    </xf>
  </cellXfs>
  <cellStyles count="1">
    <cellStyle xfId="0" name="Normal" builtinId="0"/>
  </cellStyles>
  <dxfs count="2">
    <dxf>
      <font/>
      <fill>
        <patternFill patternType="solid">
          <fgColor rgb="FFB7E1CD"/>
          <bgColor rgb="FFB7E1CD"/>
        </patternFill>
      </fill>
      <border/>
    </dxf>
    <dxf>
      <font/>
      <fill>
        <patternFill patternType="solid">
          <fgColor rgb="FFFFB3B3"/>
          <bgColor rgb="FFFFB3B3"/>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3.jpg"/><Relationship Id="rId3"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876800" cy="35433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962025</xdr:colOff>
      <xdr:row>1</xdr:row>
      <xdr:rowOff>-190500</xdr:rowOff>
    </xdr:from>
    <xdr:ext cx="2924175" cy="6343650"/>
    <xdr:pic>
      <xdr:nvPicPr>
        <xdr:cNvPr id="0" name="image3.jp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962025</xdr:colOff>
      <xdr:row>1</xdr:row>
      <xdr:rowOff>-190500</xdr:rowOff>
    </xdr:from>
    <xdr:ext cx="3152775" cy="6848475"/>
    <xdr:pic>
      <xdr:nvPicPr>
        <xdr:cNvPr id="0" name="image2.jp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file/d/1kZsbOrnekRdY9WiKOcDn5F7ahgDXIKqc/view?usp=sharing" TargetMode="External"/><Relationship Id="rId2" Type="http://schemas.openxmlformats.org/officeDocument/2006/relationships/hyperlink" Target="https://drive.google.com/file/d/1v8xszAU-FytMgrJfFKa7zfNpG-A7bhNV/view?usp=sharing" TargetMode="External"/><Relationship Id="rId3" Type="http://schemas.openxmlformats.org/officeDocument/2006/relationships/hyperlink" Target="https://drive.google.com/file/d/1S4sI_W47gN3TjusCixTaR_5yuhzmHJ42/view?usp=drive_link" TargetMode="External"/><Relationship Id="rId4" Type="http://schemas.openxmlformats.org/officeDocument/2006/relationships/hyperlink" Target="https://www.canva.com/design/DAG_64z4Yys/zpPwtoMJIgD2PasWzaxR0w/edit?utm_content=DAG_64z4Yys&amp;utm_campaign=designshare&amp;utm_medium=link2&amp;utm_source=sharebutton" TargetMode="External"/><Relationship Id="rId11" Type="http://schemas.openxmlformats.org/officeDocument/2006/relationships/hyperlink" Target="https://drive.google.com/file/d/1sFx0lPJ3iHkWWFIvrIRpOl3NvGQRF-O4/view?usp=drive_link" TargetMode="External"/><Relationship Id="rId10" Type="http://schemas.openxmlformats.org/officeDocument/2006/relationships/hyperlink" Target="https://www.canva.com/design/DAHEUv3EcOc/ChvbctEy0wsVKk5GrCGmrQ/edit?utm_content=DAHEUv3EcOc&amp;utm_campaign=designshare&amp;utm_medium=link2&amp;utm_source=sharebutton" TargetMode="External"/><Relationship Id="rId12" Type="http://schemas.openxmlformats.org/officeDocument/2006/relationships/drawing" Target="../drawings/drawing3.xml"/><Relationship Id="rId9" Type="http://schemas.openxmlformats.org/officeDocument/2006/relationships/hyperlink" Target="https://export-download.canva.com/enlP4/DAHDBDenlP4/26/0-8041674560783064495.pdf?X-Amz-Algorithm=AWS4-HMAC-SHA256&amp;X-Amz-Credential=AKIAQYCGKMUH5AO7UJ26%2F20260319%2Fus-east-1%2Fs3%2Faws4_request&amp;X-Amz-Date=20260319T072535Z&amp;X-Amz-Expires=36592&amp;X-Amz-Signature=fa5297f01a39d00e3f934d7483c8cc252c6ae5bf20676db73a669d24fc52e408&amp;X-Amz-SignedHeaders=host&amp;response-content-disposition=attachment%3B%20filename%2A%3DUTF-8%27%27Lesson%25205.pdf&amp;response-expires=Thu%2C%2019%20Mar%202026%2017%3A35%3A27%20GMT" TargetMode="External"/><Relationship Id="rId5" Type="http://schemas.openxmlformats.org/officeDocument/2006/relationships/hyperlink" Target="https://drive.google.com/file/d/1v8xszAU-FytMgrJfFKa7zfNpG-A7bhNV/view?usp=sharing" TargetMode="External"/><Relationship Id="rId6" Type="http://schemas.openxmlformats.org/officeDocument/2006/relationships/hyperlink" Target="https://www.canva.com/design/DAHCXDVud8o/0YouO_05IUqjuJgDctsnSA/edit?utm_content=DAHCXDVud8o&amp;utm_campaign=designshare&amp;utm_medium=link2&amp;utm_source=sharebutton" TargetMode="External"/><Relationship Id="rId7" Type="http://schemas.openxmlformats.org/officeDocument/2006/relationships/hyperlink" Target="https://www.canva.com/design/DAHDjsy2cAs/qTwejWc2sUXcsY8DUJ7-8A/edit?utm_content=DAHDjsy2cAs&amp;utm_campaign=designshare&amp;utm_medium=link2&amp;utm_source=sharebutton" TargetMode="External"/><Relationship Id="rId8" Type="http://schemas.openxmlformats.org/officeDocument/2006/relationships/hyperlink" Target="https://drive.google.com/file/d/1u3pU_Ps3CzntMxE47lfHGpKhjqH6uCos/view"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0"/>
    <col customWidth="1" min="2" max="3" width="14.0"/>
    <col customWidth="1" min="4" max="4" width="2.0"/>
    <col customWidth="1" min="5" max="6" width="14.0"/>
    <col customWidth="1" min="7" max="7" width="2.0"/>
    <col customWidth="1" min="8" max="9" width="14.0"/>
    <col customWidth="1" min="10" max="10" width="2.0"/>
    <col customWidth="1" min="11" max="12" width="14.0"/>
    <col customWidth="1" min="13" max="13" width="2.0"/>
    <col customWidth="1" min="14" max="14" width="14.0"/>
    <col customWidth="1" min="15" max="26" width="8.71"/>
  </cols>
  <sheetData>
    <row r="1" ht="39.75" customHeight="1">
      <c r="A1" s="1" t="s">
        <v>0</v>
      </c>
      <c r="B1" s="2"/>
      <c r="C1" s="2"/>
      <c r="D1" s="2"/>
      <c r="E1" s="2"/>
      <c r="F1" s="2"/>
      <c r="G1" s="2"/>
      <c r="H1" s="2"/>
      <c r="I1" s="2"/>
      <c r="J1" s="2"/>
      <c r="K1" s="2"/>
      <c r="L1" s="2"/>
      <c r="M1" s="2"/>
      <c r="N1" s="3"/>
    </row>
    <row r="2" ht="21.75" customHeight="1">
      <c r="A2" s="4" t="s">
        <v>1</v>
      </c>
      <c r="B2" s="2"/>
      <c r="C2" s="2"/>
      <c r="D2" s="2"/>
      <c r="E2" s="2"/>
      <c r="F2" s="2"/>
      <c r="G2" s="2"/>
      <c r="H2" s="2"/>
      <c r="I2" s="2"/>
      <c r="J2" s="2"/>
      <c r="K2" s="2"/>
      <c r="L2" s="2"/>
      <c r="M2" s="2"/>
      <c r="N2" s="3"/>
    </row>
    <row r="4" ht="27.75" customHeight="1">
      <c r="B4" s="5" t="s">
        <v>2</v>
      </c>
      <c r="C4" s="6"/>
      <c r="E4" s="5" t="s">
        <v>3</v>
      </c>
      <c r="F4" s="6"/>
      <c r="H4" s="5" t="s">
        <v>4</v>
      </c>
      <c r="I4" s="6"/>
      <c r="K4" s="5" t="s">
        <v>5</v>
      </c>
      <c r="L4" s="6"/>
    </row>
    <row r="5" ht="27.75" customHeight="1">
      <c r="B5" s="7"/>
      <c r="C5" s="8"/>
      <c r="E5" s="7"/>
      <c r="F5" s="8"/>
      <c r="H5" s="7"/>
      <c r="I5" s="8"/>
      <c r="K5" s="7"/>
      <c r="L5" s="8"/>
      <c r="N5" s="9"/>
      <c r="O5" s="10"/>
      <c r="P5" s="10"/>
      <c r="Q5" s="10"/>
      <c r="R5" s="10"/>
      <c r="S5" s="10"/>
      <c r="T5" s="10"/>
      <c r="U5" s="10"/>
      <c r="V5" s="10"/>
      <c r="W5" s="10"/>
      <c r="X5" s="10"/>
      <c r="Y5" s="10"/>
      <c r="Z5" s="10"/>
    </row>
    <row r="6" ht="27.75" customHeight="1">
      <c r="B6" s="11">
        <f>'👥 MEMBER REGISTRY'!C2</f>
        <v>23</v>
      </c>
      <c r="C6" s="12"/>
      <c r="E6" s="11">
        <f>'📅 SESSION LOG'!B2</f>
        <v>14</v>
      </c>
      <c r="F6" s="12"/>
      <c r="H6" s="13">
        <f>DIVIDE('📅 SESSION LOG'!P4,'📅 SESSION LOG'!B2)</f>
        <v>0.7754251701</v>
      </c>
      <c r="I6" s="12"/>
      <c r="K6" s="11">
        <f>IFERROR(AVERAGE('🧪 TEST SCORES'!H3:H100),0)</f>
        <v>0.7583333333</v>
      </c>
      <c r="L6" s="12"/>
      <c r="N6" s="10"/>
      <c r="O6" s="9"/>
      <c r="P6" s="10"/>
      <c r="Q6" s="10"/>
      <c r="R6" s="10"/>
      <c r="S6" s="10"/>
      <c r="T6" s="10"/>
      <c r="U6" s="10"/>
      <c r="V6" s="10"/>
      <c r="W6" s="10"/>
      <c r="X6" s="10"/>
      <c r="Y6" s="10"/>
      <c r="Z6" s="10"/>
    </row>
    <row r="7" ht="27.75" customHeight="1">
      <c r="N7" s="10"/>
      <c r="O7" s="10"/>
      <c r="P7" s="10"/>
      <c r="Q7" s="9"/>
      <c r="R7" s="10"/>
      <c r="S7" s="10"/>
      <c r="T7" s="10"/>
      <c r="U7" s="10"/>
      <c r="V7" s="10"/>
      <c r="W7" s="10"/>
      <c r="X7" s="10"/>
      <c r="Y7" s="10"/>
      <c r="Z7" s="10"/>
    </row>
    <row r="9" ht="25.5" customHeight="1">
      <c r="A9" s="14" t="s">
        <v>6</v>
      </c>
      <c r="B9" s="2"/>
      <c r="C9" s="2"/>
      <c r="D9" s="2"/>
      <c r="E9" s="2"/>
      <c r="F9" s="2"/>
      <c r="G9" s="2"/>
      <c r="H9" s="2"/>
      <c r="I9" s="2"/>
      <c r="J9" s="2"/>
      <c r="K9" s="2"/>
      <c r="L9" s="2"/>
      <c r="M9" s="2"/>
      <c r="N9" s="3"/>
    </row>
    <row r="10" ht="21.75" customHeight="1">
      <c r="A10" s="15" t="s">
        <v>7</v>
      </c>
      <c r="B10" s="16"/>
      <c r="C10" s="16"/>
      <c r="D10" s="16"/>
      <c r="E10" s="16"/>
      <c r="F10" s="16"/>
      <c r="G10" s="16"/>
      <c r="H10" s="16"/>
      <c r="I10" s="16"/>
      <c r="J10" s="16"/>
      <c r="K10" s="16"/>
      <c r="L10" s="16"/>
      <c r="M10" s="16"/>
      <c r="N10" s="12"/>
    </row>
    <row r="11" ht="21.75" customHeight="1">
      <c r="A11" s="17" t="s">
        <v>8</v>
      </c>
      <c r="B11" s="16"/>
      <c r="C11" s="16"/>
      <c r="D11" s="16"/>
      <c r="E11" s="16"/>
      <c r="F11" s="16"/>
      <c r="G11" s="16"/>
      <c r="H11" s="16"/>
      <c r="I11" s="16"/>
      <c r="J11" s="16"/>
      <c r="K11" s="16"/>
      <c r="L11" s="16"/>
      <c r="M11" s="16"/>
      <c r="N11" s="12"/>
    </row>
    <row r="12" ht="21.75" customHeight="1">
      <c r="A12" s="15" t="s">
        <v>9</v>
      </c>
      <c r="B12" s="16"/>
      <c r="C12" s="16"/>
      <c r="D12" s="16"/>
      <c r="E12" s="16"/>
      <c r="F12" s="16"/>
      <c r="G12" s="16"/>
      <c r="H12" s="16"/>
      <c r="I12" s="16"/>
      <c r="J12" s="16"/>
      <c r="K12" s="16"/>
      <c r="L12" s="16"/>
      <c r="M12" s="16"/>
      <c r="N12" s="12"/>
    </row>
    <row r="13" ht="21.75" customHeight="1">
      <c r="A13" s="17" t="s">
        <v>10</v>
      </c>
      <c r="B13" s="16"/>
      <c r="C13" s="16"/>
      <c r="D13" s="16"/>
      <c r="E13" s="16"/>
      <c r="F13" s="16"/>
      <c r="G13" s="16"/>
      <c r="H13" s="16"/>
      <c r="I13" s="16"/>
      <c r="J13" s="16"/>
      <c r="K13" s="16"/>
      <c r="L13" s="16"/>
      <c r="M13" s="16"/>
      <c r="N13" s="12"/>
      <c r="X13" s="18" t="s">
        <v>11</v>
      </c>
    </row>
    <row r="14" ht="21.75" customHeight="1">
      <c r="A14" s="15" t="s">
        <v>12</v>
      </c>
      <c r="B14" s="16"/>
      <c r="C14" s="16"/>
      <c r="D14" s="16"/>
      <c r="E14" s="16"/>
      <c r="F14" s="16"/>
      <c r="G14" s="16"/>
      <c r="H14" s="16"/>
      <c r="I14" s="16"/>
      <c r="J14" s="16"/>
      <c r="K14" s="16"/>
      <c r="L14" s="16"/>
      <c r="M14" s="16"/>
      <c r="N14" s="12"/>
    </row>
    <row r="15" ht="21.75" customHeight="1">
      <c r="A15" s="19" t="s">
        <v>13</v>
      </c>
      <c r="B15" s="16"/>
      <c r="C15" s="16"/>
      <c r="D15" s="16"/>
      <c r="E15" s="16"/>
      <c r="F15" s="16"/>
      <c r="G15" s="16"/>
      <c r="H15" s="16"/>
      <c r="I15" s="16"/>
      <c r="J15" s="16"/>
      <c r="K15" s="16"/>
      <c r="L15" s="16"/>
      <c r="M15" s="16"/>
      <c r="N15" s="12"/>
    </row>
    <row r="16" ht="21.75" customHeight="1">
      <c r="A16" s="15" t="s">
        <v>14</v>
      </c>
      <c r="B16" s="16"/>
      <c r="C16" s="16"/>
      <c r="D16" s="16"/>
      <c r="E16" s="16"/>
      <c r="F16" s="16"/>
      <c r="G16" s="16"/>
      <c r="H16" s="16"/>
      <c r="I16" s="16"/>
      <c r="J16" s="16"/>
      <c r="K16" s="16"/>
      <c r="L16" s="16"/>
      <c r="M16" s="16"/>
      <c r="N16" s="12"/>
    </row>
    <row r="20">
      <c r="A20" s="20"/>
      <c r="B20" s="20"/>
      <c r="C20" s="20"/>
      <c r="D20" s="20"/>
      <c r="E20" s="21" t="s">
        <v>15</v>
      </c>
      <c r="F20" s="20"/>
      <c r="G20" s="20"/>
      <c r="H20" s="20"/>
      <c r="I20" s="20"/>
      <c r="J20" s="20"/>
      <c r="K20" s="20"/>
      <c r="L20" s="20"/>
      <c r="M20" s="20"/>
      <c r="N20" s="20"/>
      <c r="O20" s="20"/>
    </row>
    <row r="21" ht="15.75" customHeight="1">
      <c r="A21" s="22"/>
      <c r="B21" s="22"/>
      <c r="C21" s="22"/>
      <c r="D21" s="22"/>
      <c r="E21" s="22"/>
      <c r="F21" s="22"/>
      <c r="G21" s="22"/>
      <c r="H21" s="22"/>
      <c r="I21" s="22"/>
      <c r="J21" s="22"/>
      <c r="K21" s="22"/>
      <c r="L21" s="22"/>
      <c r="M21" s="22"/>
      <c r="N21" s="22"/>
      <c r="O21" s="22"/>
    </row>
    <row r="22" ht="15.75" customHeight="1">
      <c r="A22" s="22"/>
      <c r="B22" s="22"/>
      <c r="C22" s="22"/>
      <c r="D22" s="22"/>
      <c r="E22" s="22"/>
      <c r="F22" s="22"/>
      <c r="G22" s="22"/>
      <c r="H22" s="22"/>
      <c r="I22" s="22"/>
      <c r="J22" s="22"/>
      <c r="K22" s="22"/>
      <c r="L22" s="22"/>
      <c r="M22" s="22"/>
      <c r="N22" s="22"/>
      <c r="O22" s="22"/>
    </row>
    <row r="23" ht="15.75" customHeight="1">
      <c r="A23" s="22"/>
      <c r="B23" s="22"/>
      <c r="C23" s="23" t="s">
        <v>16</v>
      </c>
      <c r="D23" s="24"/>
      <c r="E23" s="24"/>
      <c r="F23" s="24"/>
      <c r="G23" s="24"/>
      <c r="H23" s="24"/>
      <c r="I23" s="24"/>
      <c r="J23" s="24"/>
      <c r="K23" s="24"/>
      <c r="L23" s="24"/>
      <c r="M23" s="24"/>
      <c r="N23" s="24"/>
      <c r="O23" s="24"/>
    </row>
    <row r="24" ht="15.75" customHeight="1">
      <c r="A24" s="22"/>
      <c r="B24" s="22"/>
      <c r="C24" s="24"/>
      <c r="D24" s="24"/>
      <c r="E24" s="24"/>
      <c r="F24" s="24"/>
      <c r="G24" s="24"/>
      <c r="H24" s="24"/>
      <c r="I24" s="23" t="s">
        <v>17</v>
      </c>
      <c r="J24" s="24"/>
      <c r="K24" s="24"/>
      <c r="L24" s="24"/>
      <c r="M24" s="24"/>
      <c r="N24" s="24"/>
      <c r="O24" s="24"/>
    </row>
    <row r="25" ht="15.75" customHeight="1">
      <c r="A25" s="22"/>
      <c r="B25" s="22"/>
      <c r="C25" s="24"/>
      <c r="D25" s="24"/>
      <c r="E25" s="24"/>
      <c r="F25" s="24"/>
      <c r="G25" s="24"/>
      <c r="H25" s="24"/>
      <c r="I25" s="24"/>
      <c r="J25" s="24"/>
      <c r="K25" s="23" t="s">
        <v>18</v>
      </c>
      <c r="L25" s="24"/>
      <c r="M25" s="24"/>
      <c r="N25" s="23" t="s">
        <v>19</v>
      </c>
      <c r="O25" s="24"/>
    </row>
    <row r="26" ht="15.75" customHeight="1">
      <c r="A26" s="22"/>
      <c r="B26" s="22"/>
      <c r="C26" s="22"/>
      <c r="D26" s="22"/>
      <c r="E26" s="22"/>
      <c r="F26" s="22"/>
      <c r="G26" s="22"/>
      <c r="H26" s="22"/>
      <c r="I26" s="25"/>
      <c r="J26" s="22"/>
      <c r="K26" s="22"/>
      <c r="L26" s="22"/>
      <c r="M26" s="22"/>
      <c r="N26" s="22"/>
      <c r="O26" s="22"/>
    </row>
    <row r="27" ht="15.75" customHeight="1">
      <c r="A27" s="22"/>
      <c r="B27" s="22"/>
      <c r="C27" s="24" t="s">
        <v>20</v>
      </c>
      <c r="D27" s="22"/>
      <c r="E27" s="22"/>
      <c r="F27" s="22"/>
      <c r="G27" s="22"/>
      <c r="H27" s="22"/>
      <c r="I27" s="22"/>
      <c r="J27" s="22"/>
      <c r="K27" s="22"/>
      <c r="L27" s="22"/>
      <c r="M27" s="22"/>
      <c r="N27" s="22"/>
      <c r="O27" s="22"/>
    </row>
    <row r="28" ht="15.75" customHeight="1">
      <c r="A28" s="22"/>
      <c r="B28" s="22"/>
      <c r="C28" s="22"/>
      <c r="D28" s="22"/>
      <c r="E28" s="22"/>
      <c r="F28" s="22"/>
      <c r="G28" s="22"/>
      <c r="H28" s="22"/>
      <c r="I28" s="22"/>
      <c r="J28" s="22"/>
      <c r="K28" s="22"/>
      <c r="L28" s="22"/>
      <c r="M28" s="22"/>
      <c r="N28" s="22"/>
      <c r="O28" s="22"/>
    </row>
    <row r="29" ht="15.75" customHeight="1">
      <c r="A29" s="22"/>
      <c r="B29" s="22"/>
      <c r="C29" s="22"/>
      <c r="D29" s="22"/>
      <c r="E29" s="22"/>
      <c r="F29" s="22"/>
      <c r="G29" s="22"/>
      <c r="H29" s="22"/>
      <c r="I29" s="22"/>
      <c r="J29" s="22"/>
      <c r="K29" s="22"/>
      <c r="L29" s="22"/>
      <c r="M29" s="22"/>
      <c r="N29" s="22"/>
      <c r="O29" s="22"/>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H4:I5"/>
    <mergeCell ref="H6:I6"/>
    <mergeCell ref="A1:N1"/>
    <mergeCell ref="A2:N2"/>
    <mergeCell ref="B4:C5"/>
    <mergeCell ref="E4:F5"/>
    <mergeCell ref="K4:L5"/>
    <mergeCell ref="B6:C6"/>
    <mergeCell ref="E6:F6"/>
    <mergeCell ref="A15:N15"/>
    <mergeCell ref="A16:N16"/>
    <mergeCell ref="K6:L6"/>
    <mergeCell ref="A9:N9"/>
    <mergeCell ref="A10:N10"/>
    <mergeCell ref="A11:N11"/>
    <mergeCell ref="A12:N12"/>
    <mergeCell ref="A13:N13"/>
    <mergeCell ref="A14:N14"/>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4.43" defaultRowHeight="15.0"/>
  <cols>
    <col customWidth="1" min="1" max="1" width="3.71"/>
    <col customWidth="1" min="2" max="2" width="23.0"/>
    <col customWidth="1" min="3" max="5" width="21.57"/>
    <col customWidth="1" min="6" max="6" width="12.0"/>
    <col customWidth="1" min="7" max="7" width="20.0"/>
    <col customWidth="1" min="8" max="8" width="35.86"/>
    <col customWidth="1" min="9" max="9" width="21.57"/>
    <col customWidth="1" min="10" max="21" width="8.71"/>
  </cols>
  <sheetData>
    <row r="1" ht="31.5" customHeight="1">
      <c r="A1" s="26" t="s">
        <v>21</v>
      </c>
      <c r="B1" s="2"/>
      <c r="C1" s="2"/>
      <c r="D1" s="2"/>
      <c r="E1" s="2"/>
      <c r="F1" s="2"/>
      <c r="G1" s="2"/>
      <c r="H1" s="2"/>
      <c r="I1" s="3"/>
    </row>
    <row r="2" ht="19.5" customHeight="1">
      <c r="B2" s="27" t="s">
        <v>22</v>
      </c>
      <c r="C2" s="28">
        <f>COUNTIF(F4:F200,"Active")</f>
        <v>23</v>
      </c>
    </row>
    <row r="3" ht="37.5" customHeight="1">
      <c r="A3" s="29" t="s">
        <v>23</v>
      </c>
      <c r="B3" s="29" t="s">
        <v>24</v>
      </c>
      <c r="C3" s="29" t="s">
        <v>25</v>
      </c>
      <c r="D3" s="30" t="s">
        <v>26</v>
      </c>
      <c r="E3" s="30" t="s">
        <v>27</v>
      </c>
      <c r="F3" s="29" t="s">
        <v>28</v>
      </c>
      <c r="G3" s="29" t="s">
        <v>29</v>
      </c>
      <c r="H3" s="31" t="s">
        <v>30</v>
      </c>
      <c r="I3" s="31" t="s">
        <v>31</v>
      </c>
    </row>
    <row r="4" ht="19.5" customHeight="1">
      <c r="A4" s="32">
        <v>1.0</v>
      </c>
      <c r="B4" s="33" t="s">
        <v>32</v>
      </c>
      <c r="C4" s="32" t="s">
        <v>33</v>
      </c>
      <c r="D4" s="33" t="s">
        <v>34</v>
      </c>
      <c r="E4" s="33" t="s">
        <v>35</v>
      </c>
      <c r="F4" s="32" t="s">
        <v>36</v>
      </c>
      <c r="G4" s="34" t="s">
        <v>37</v>
      </c>
      <c r="H4" s="35" t="s">
        <v>38</v>
      </c>
      <c r="I4" s="36"/>
    </row>
    <row r="5" ht="19.5" customHeight="1">
      <c r="A5" s="37">
        <v>2.0</v>
      </c>
      <c r="B5" s="38" t="s">
        <v>39</v>
      </c>
      <c r="C5" s="37" t="s">
        <v>40</v>
      </c>
      <c r="D5" s="38" t="s">
        <v>34</v>
      </c>
      <c r="E5" s="38" t="s">
        <v>41</v>
      </c>
      <c r="F5" s="37" t="s">
        <v>36</v>
      </c>
      <c r="G5" s="39" t="s">
        <v>37</v>
      </c>
      <c r="H5" s="40" t="s">
        <v>42</v>
      </c>
      <c r="I5" s="41"/>
    </row>
    <row r="6" ht="19.5" customHeight="1">
      <c r="A6" s="32">
        <v>3.0</v>
      </c>
      <c r="B6" s="33" t="s">
        <v>43</v>
      </c>
      <c r="C6" s="33" t="s">
        <v>44</v>
      </c>
      <c r="D6" s="33" t="s">
        <v>44</v>
      </c>
      <c r="E6" s="33" t="s">
        <v>45</v>
      </c>
      <c r="F6" s="32" t="s">
        <v>36</v>
      </c>
      <c r="G6" s="34" t="s">
        <v>46</v>
      </c>
      <c r="H6" s="35" t="s">
        <v>47</v>
      </c>
      <c r="I6" s="36"/>
    </row>
    <row r="7" ht="19.5" customHeight="1">
      <c r="A7" s="37">
        <v>4.0</v>
      </c>
      <c r="B7" s="38" t="s">
        <v>48</v>
      </c>
      <c r="C7" s="38" t="s">
        <v>40</v>
      </c>
      <c r="D7" s="38" t="s">
        <v>41</v>
      </c>
      <c r="E7" s="38" t="s">
        <v>45</v>
      </c>
      <c r="F7" s="37" t="s">
        <v>36</v>
      </c>
      <c r="G7" s="42" t="s">
        <v>37</v>
      </c>
      <c r="H7" s="40" t="s">
        <v>49</v>
      </c>
      <c r="I7" s="41"/>
    </row>
    <row r="8" ht="19.5" customHeight="1">
      <c r="A8" s="32">
        <v>5.0</v>
      </c>
      <c r="B8" s="33" t="s">
        <v>50</v>
      </c>
      <c r="C8" s="32" t="s">
        <v>35</v>
      </c>
      <c r="D8" s="33" t="s">
        <v>35</v>
      </c>
      <c r="E8" s="33" t="s">
        <v>41</v>
      </c>
      <c r="F8" s="32" t="s">
        <v>36</v>
      </c>
      <c r="G8" s="34" t="s">
        <v>37</v>
      </c>
      <c r="H8" s="35" t="s">
        <v>51</v>
      </c>
      <c r="I8" s="36"/>
    </row>
    <row r="9" ht="19.5" customHeight="1">
      <c r="A9" s="43">
        <v>6.0</v>
      </c>
      <c r="B9" s="43" t="s">
        <v>52</v>
      </c>
      <c r="C9" s="43" t="s">
        <v>53</v>
      </c>
      <c r="D9" s="43" t="s">
        <v>53</v>
      </c>
      <c r="E9" s="43" t="s">
        <v>54</v>
      </c>
      <c r="F9" s="44" t="s">
        <v>36</v>
      </c>
      <c r="G9" s="45" t="s">
        <v>46</v>
      </c>
      <c r="H9" s="40" t="s">
        <v>55</v>
      </c>
      <c r="I9" s="41"/>
    </row>
    <row r="10" ht="19.5" customHeight="1">
      <c r="A10" s="46">
        <v>7.0</v>
      </c>
      <c r="B10" s="46" t="s">
        <v>56</v>
      </c>
      <c r="C10" s="46" t="s">
        <v>44</v>
      </c>
      <c r="D10" s="46" t="s">
        <v>44</v>
      </c>
      <c r="E10" s="46" t="s">
        <v>45</v>
      </c>
      <c r="F10" s="47" t="s">
        <v>36</v>
      </c>
      <c r="G10" s="48" t="s">
        <v>46</v>
      </c>
      <c r="H10" s="35" t="s">
        <v>57</v>
      </c>
      <c r="I10" s="36"/>
    </row>
    <row r="11" ht="19.5" customHeight="1">
      <c r="A11" s="43">
        <v>8.0</v>
      </c>
      <c r="B11" s="43" t="s">
        <v>58</v>
      </c>
      <c r="C11" s="43" t="s">
        <v>35</v>
      </c>
      <c r="D11" s="43" t="s">
        <v>35</v>
      </c>
      <c r="E11" s="43" t="s">
        <v>45</v>
      </c>
      <c r="F11" s="44" t="s">
        <v>36</v>
      </c>
      <c r="G11" s="49" t="s">
        <v>59</v>
      </c>
      <c r="H11" s="40" t="s">
        <v>60</v>
      </c>
      <c r="I11" s="41"/>
    </row>
    <row r="12" ht="19.5" customHeight="1">
      <c r="A12" s="46">
        <v>9.0</v>
      </c>
      <c r="B12" s="46" t="s">
        <v>61</v>
      </c>
      <c r="C12" s="46" t="s">
        <v>41</v>
      </c>
      <c r="D12" s="46" t="s">
        <v>41</v>
      </c>
      <c r="E12" s="46" t="s">
        <v>45</v>
      </c>
      <c r="F12" s="47" t="s">
        <v>36</v>
      </c>
      <c r="G12" s="48" t="s">
        <v>46</v>
      </c>
      <c r="H12" s="35" t="s">
        <v>62</v>
      </c>
      <c r="I12" s="36"/>
    </row>
    <row r="13" ht="19.5" customHeight="1">
      <c r="A13" s="43">
        <v>10.0</v>
      </c>
      <c r="B13" s="43" t="s">
        <v>63</v>
      </c>
      <c r="C13" s="43" t="s">
        <v>35</v>
      </c>
      <c r="D13" s="43" t="s">
        <v>35</v>
      </c>
      <c r="E13" s="43" t="s">
        <v>54</v>
      </c>
      <c r="F13" s="44" t="s">
        <v>36</v>
      </c>
      <c r="G13" s="49" t="s">
        <v>37</v>
      </c>
      <c r="H13" s="40" t="s">
        <v>64</v>
      </c>
      <c r="I13" s="41"/>
    </row>
    <row r="14" ht="19.5" customHeight="1">
      <c r="A14" s="46">
        <v>11.0</v>
      </c>
      <c r="B14" s="46" t="s">
        <v>65</v>
      </c>
      <c r="C14" s="47" t="s">
        <v>35</v>
      </c>
      <c r="D14" s="46" t="s">
        <v>35</v>
      </c>
      <c r="E14" s="46" t="s">
        <v>54</v>
      </c>
      <c r="F14" s="47" t="s">
        <v>36</v>
      </c>
      <c r="G14" s="48" t="s">
        <v>46</v>
      </c>
      <c r="H14" s="35" t="s">
        <v>66</v>
      </c>
      <c r="I14" s="36"/>
    </row>
    <row r="15" ht="19.5" customHeight="1">
      <c r="A15" s="43">
        <v>12.0</v>
      </c>
      <c r="B15" s="43" t="s">
        <v>67</v>
      </c>
      <c r="C15" s="43" t="s">
        <v>68</v>
      </c>
      <c r="D15" s="43" t="s">
        <v>45</v>
      </c>
      <c r="E15" s="43" t="s">
        <v>45</v>
      </c>
      <c r="F15" s="44" t="s">
        <v>36</v>
      </c>
      <c r="G15" s="49" t="s">
        <v>37</v>
      </c>
      <c r="H15" s="40" t="s">
        <v>69</v>
      </c>
      <c r="I15" s="41"/>
    </row>
    <row r="16" ht="19.5" customHeight="1">
      <c r="A16" s="46">
        <v>13.0</v>
      </c>
      <c r="B16" s="46" t="s">
        <v>70</v>
      </c>
      <c r="C16" s="46" t="s">
        <v>71</v>
      </c>
      <c r="D16" s="46" t="s">
        <v>34</v>
      </c>
      <c r="E16" s="46" t="s">
        <v>53</v>
      </c>
      <c r="F16" s="47" t="s">
        <v>36</v>
      </c>
      <c r="G16" s="48" t="s">
        <v>37</v>
      </c>
      <c r="H16" s="50" t="s">
        <v>72</v>
      </c>
      <c r="I16" s="51"/>
    </row>
    <row r="17" ht="19.5" customHeight="1">
      <c r="A17" s="43">
        <v>14.0</v>
      </c>
      <c r="B17" s="43" t="s">
        <v>73</v>
      </c>
      <c r="C17" s="43" t="s">
        <v>74</v>
      </c>
      <c r="D17" s="43" t="s">
        <v>34</v>
      </c>
      <c r="E17" s="43" t="s">
        <v>45</v>
      </c>
      <c r="F17" s="44" t="s">
        <v>36</v>
      </c>
      <c r="G17" s="49" t="s">
        <v>37</v>
      </c>
      <c r="H17" s="40" t="s">
        <v>75</v>
      </c>
      <c r="I17" s="41"/>
    </row>
    <row r="18" ht="19.5" customHeight="1">
      <c r="A18" s="52">
        <v>15.0</v>
      </c>
      <c r="B18" s="52" t="s">
        <v>76</v>
      </c>
      <c r="C18" s="52" t="s">
        <v>77</v>
      </c>
      <c r="D18" s="52" t="s">
        <v>34</v>
      </c>
      <c r="E18" s="52" t="s">
        <v>78</v>
      </c>
      <c r="F18" s="53" t="s">
        <v>36</v>
      </c>
      <c r="G18" s="54" t="s">
        <v>37</v>
      </c>
      <c r="H18" s="35" t="s">
        <v>79</v>
      </c>
      <c r="I18" s="36"/>
    </row>
    <row r="19" ht="19.5" customHeight="1">
      <c r="A19" s="43">
        <v>16.0</v>
      </c>
      <c r="B19" s="43" t="s">
        <v>80</v>
      </c>
      <c r="C19" s="43" t="s">
        <v>81</v>
      </c>
      <c r="D19" s="43" t="s">
        <v>34</v>
      </c>
      <c r="E19" s="43" t="s">
        <v>53</v>
      </c>
      <c r="F19" s="44" t="s">
        <v>36</v>
      </c>
      <c r="G19" s="49" t="s">
        <v>37</v>
      </c>
      <c r="H19" s="40" t="s">
        <v>82</v>
      </c>
      <c r="I19" s="41"/>
    </row>
    <row r="20" ht="19.5" customHeight="1">
      <c r="A20" s="52">
        <v>17.0</v>
      </c>
      <c r="B20" s="52" t="s">
        <v>83</v>
      </c>
      <c r="C20" s="55" t="s">
        <v>53</v>
      </c>
      <c r="D20" s="55" t="s">
        <v>53</v>
      </c>
      <c r="E20" s="55" t="s">
        <v>45</v>
      </c>
      <c r="F20" s="53" t="s">
        <v>36</v>
      </c>
      <c r="G20" s="56" t="s">
        <v>37</v>
      </c>
      <c r="H20" s="35" t="s">
        <v>84</v>
      </c>
      <c r="I20" s="36"/>
    </row>
    <row r="21" ht="19.5" customHeight="1">
      <c r="A21" s="43">
        <v>18.0</v>
      </c>
      <c r="B21" s="57" t="s">
        <v>85</v>
      </c>
      <c r="C21" s="57" t="s">
        <v>54</v>
      </c>
      <c r="D21" s="57" t="s">
        <v>54</v>
      </c>
      <c r="E21" s="57" t="s">
        <v>45</v>
      </c>
      <c r="F21" s="44" t="s">
        <v>36</v>
      </c>
      <c r="G21" s="58" t="s">
        <v>37</v>
      </c>
      <c r="H21" s="40" t="s">
        <v>86</v>
      </c>
      <c r="I21" s="41"/>
    </row>
    <row r="22" ht="19.5" customHeight="1">
      <c r="A22" s="52">
        <v>19.0</v>
      </c>
      <c r="B22" s="59" t="s">
        <v>87</v>
      </c>
      <c r="C22" s="59" t="s">
        <v>78</v>
      </c>
      <c r="D22" s="59" t="s">
        <v>78</v>
      </c>
      <c r="E22" s="59" t="s">
        <v>45</v>
      </c>
      <c r="F22" s="47" t="s">
        <v>36</v>
      </c>
      <c r="G22" s="60" t="s">
        <v>46</v>
      </c>
      <c r="H22" s="35" t="s">
        <v>88</v>
      </c>
      <c r="I22" s="36"/>
    </row>
    <row r="23" ht="19.5" customHeight="1">
      <c r="A23" s="43">
        <v>20.0</v>
      </c>
      <c r="B23" s="43" t="s">
        <v>89</v>
      </c>
      <c r="C23" s="57" t="s">
        <v>90</v>
      </c>
      <c r="D23" s="57" t="s">
        <v>34</v>
      </c>
      <c r="E23" s="57" t="s">
        <v>41</v>
      </c>
      <c r="F23" s="44" t="s">
        <v>36</v>
      </c>
      <c r="G23" s="58" t="s">
        <v>46</v>
      </c>
      <c r="H23" s="40" t="s">
        <v>91</v>
      </c>
      <c r="I23" s="41"/>
    </row>
    <row r="24" ht="19.5" customHeight="1">
      <c r="A24" s="52">
        <v>21.0</v>
      </c>
      <c r="B24" s="59" t="s">
        <v>92</v>
      </c>
      <c r="C24" s="59" t="s">
        <v>41</v>
      </c>
      <c r="D24" s="59" t="s">
        <v>41</v>
      </c>
      <c r="E24" s="59" t="s">
        <v>45</v>
      </c>
      <c r="F24" s="47" t="s">
        <v>36</v>
      </c>
      <c r="G24" s="60" t="s">
        <v>37</v>
      </c>
      <c r="H24" s="35" t="s">
        <v>93</v>
      </c>
      <c r="I24" s="36"/>
    </row>
    <row r="25" ht="19.5" customHeight="1">
      <c r="A25" s="43">
        <v>22.0</v>
      </c>
      <c r="B25" s="57" t="s">
        <v>94</v>
      </c>
      <c r="C25" s="57" t="s">
        <v>54</v>
      </c>
      <c r="D25" s="57" t="s">
        <v>54</v>
      </c>
      <c r="E25" s="57" t="s">
        <v>53</v>
      </c>
      <c r="F25" s="44" t="s">
        <v>36</v>
      </c>
      <c r="G25" s="58" t="s">
        <v>37</v>
      </c>
      <c r="H25" s="40" t="s">
        <v>95</v>
      </c>
      <c r="I25" s="41"/>
    </row>
    <row r="26" ht="19.5" customHeight="1">
      <c r="A26" s="61">
        <v>23.0</v>
      </c>
      <c r="B26" s="62" t="s">
        <v>96</v>
      </c>
      <c r="C26" s="62" t="s">
        <v>97</v>
      </c>
      <c r="D26" s="63" t="s">
        <v>34</v>
      </c>
      <c r="E26" s="63" t="s">
        <v>41</v>
      </c>
      <c r="F26" s="64" t="s">
        <v>36</v>
      </c>
      <c r="G26" s="65" t="s">
        <v>37</v>
      </c>
      <c r="H26" s="66" t="s">
        <v>98</v>
      </c>
      <c r="I26" s="67"/>
    </row>
    <row r="27" ht="19.5" customHeight="1">
      <c r="A27" s="68"/>
      <c r="B27" s="68"/>
      <c r="C27" s="68"/>
      <c r="D27" s="69"/>
      <c r="E27" s="69"/>
      <c r="F27" s="70"/>
      <c r="G27" s="68"/>
      <c r="H27" s="71"/>
      <c r="I27" s="71"/>
    </row>
    <row r="28" ht="19.5" customHeight="1">
      <c r="D28" s="69"/>
      <c r="E28" s="69"/>
      <c r="F28" s="70"/>
    </row>
    <row r="29" ht="19.5" customHeight="1">
      <c r="A29" s="72"/>
      <c r="B29" s="72"/>
      <c r="C29" s="73"/>
      <c r="D29" s="73"/>
      <c r="E29" s="73"/>
      <c r="F29" s="73"/>
      <c r="G29" s="73"/>
    </row>
    <row r="30" ht="19.5" customHeight="1">
      <c r="A30" s="72"/>
      <c r="B30" s="73"/>
      <c r="C30" s="73"/>
      <c r="D30" s="73"/>
      <c r="E30" s="73"/>
      <c r="F30" s="73"/>
      <c r="G30" s="73"/>
    </row>
    <row r="31" ht="19.5" customHeight="1">
      <c r="D31" s="74"/>
      <c r="E31" s="74"/>
      <c r="F31" s="74"/>
    </row>
    <row r="32" ht="19.5" customHeight="1">
      <c r="D32" s="74"/>
      <c r="E32" s="74"/>
      <c r="F32" s="74"/>
    </row>
    <row r="33" ht="19.5" customHeight="1">
      <c r="D33" s="74"/>
      <c r="E33" s="74"/>
      <c r="F33" s="74"/>
    </row>
    <row r="34" ht="19.5" customHeight="1">
      <c r="D34" s="74"/>
      <c r="E34" s="74"/>
      <c r="F34" s="74"/>
    </row>
    <row r="35" ht="19.5" customHeight="1">
      <c r="D35" s="74"/>
      <c r="E35" s="74"/>
      <c r="F35" s="74"/>
    </row>
    <row r="36" ht="19.5" customHeight="1">
      <c r="D36" s="74"/>
      <c r="E36" s="74"/>
      <c r="F36" s="74"/>
    </row>
    <row r="37" ht="19.5" customHeight="1">
      <c r="D37" s="74"/>
      <c r="E37" s="74"/>
      <c r="F37" s="74"/>
    </row>
    <row r="38" ht="19.5" customHeight="1">
      <c r="D38" s="74"/>
      <c r="E38" s="74"/>
      <c r="F38" s="74"/>
    </row>
    <row r="39" ht="19.5" customHeight="1">
      <c r="D39" s="74"/>
      <c r="E39" s="74"/>
      <c r="F39" s="74"/>
    </row>
    <row r="40" ht="19.5" customHeight="1">
      <c r="D40" s="74"/>
      <c r="E40" s="74"/>
      <c r="F40" s="74"/>
    </row>
    <row r="41" ht="19.5" customHeight="1">
      <c r="D41" s="74"/>
      <c r="E41" s="74"/>
      <c r="F41" s="74"/>
    </row>
    <row r="42" ht="19.5" customHeight="1">
      <c r="D42" s="74"/>
      <c r="E42" s="74"/>
      <c r="F42" s="74"/>
    </row>
    <row r="43" ht="19.5" customHeight="1">
      <c r="D43" s="74"/>
      <c r="E43" s="74"/>
      <c r="F43" s="74"/>
    </row>
    <row r="44" ht="19.5" customHeight="1">
      <c r="D44" s="74"/>
      <c r="E44" s="74"/>
      <c r="F44" s="74"/>
    </row>
    <row r="45" ht="19.5" customHeight="1">
      <c r="D45" s="74"/>
      <c r="E45" s="74"/>
      <c r="F45" s="74"/>
    </row>
    <row r="46" ht="19.5" customHeight="1">
      <c r="D46" s="74"/>
      <c r="E46" s="74"/>
      <c r="F46" s="74"/>
    </row>
    <row r="47" ht="19.5" customHeight="1">
      <c r="D47" s="74"/>
      <c r="E47" s="74"/>
      <c r="F47" s="74"/>
    </row>
    <row r="48" ht="19.5" customHeight="1">
      <c r="D48" s="74"/>
      <c r="E48" s="74"/>
      <c r="F48" s="74"/>
    </row>
    <row r="49" ht="19.5" customHeight="1">
      <c r="D49" s="74"/>
      <c r="E49" s="74"/>
      <c r="F49" s="74"/>
    </row>
    <row r="50" ht="19.5" customHeight="1">
      <c r="D50" s="74"/>
      <c r="E50" s="74"/>
      <c r="F50" s="74"/>
    </row>
    <row r="51" ht="19.5" customHeight="1">
      <c r="D51" s="74"/>
      <c r="E51" s="74"/>
      <c r="F51" s="74"/>
    </row>
    <row r="52" ht="19.5" customHeight="1">
      <c r="D52" s="74"/>
      <c r="E52" s="74"/>
      <c r="F52" s="74"/>
    </row>
    <row r="53" ht="19.5" customHeight="1">
      <c r="D53" s="74"/>
      <c r="E53" s="74"/>
      <c r="F53" s="74"/>
    </row>
    <row r="54" ht="19.5" customHeight="1">
      <c r="D54" s="74"/>
      <c r="E54" s="74"/>
      <c r="F54" s="74"/>
    </row>
    <row r="55" ht="19.5" customHeight="1">
      <c r="D55" s="74"/>
      <c r="E55" s="74"/>
      <c r="F55" s="74"/>
    </row>
    <row r="56" ht="19.5" customHeight="1">
      <c r="D56" s="74"/>
      <c r="E56" s="74"/>
      <c r="F56" s="74"/>
    </row>
    <row r="57" ht="19.5" customHeight="1">
      <c r="D57" s="74"/>
      <c r="E57" s="74"/>
      <c r="F57" s="74"/>
    </row>
    <row r="58" ht="19.5" customHeight="1">
      <c r="D58" s="74"/>
      <c r="E58" s="74"/>
      <c r="F58" s="74"/>
    </row>
    <row r="59" ht="19.5" customHeight="1">
      <c r="D59" s="74"/>
      <c r="E59" s="74"/>
      <c r="F59" s="74"/>
    </row>
    <row r="60" ht="19.5" customHeight="1">
      <c r="D60" s="74"/>
      <c r="E60" s="74"/>
      <c r="F60" s="74"/>
    </row>
    <row r="61" ht="19.5" customHeight="1">
      <c r="D61" s="74"/>
      <c r="E61" s="74"/>
      <c r="F61" s="74"/>
    </row>
    <row r="62" ht="19.5" customHeight="1">
      <c r="D62" s="74"/>
      <c r="E62" s="74"/>
      <c r="F62" s="74"/>
    </row>
    <row r="63" ht="19.5" customHeight="1">
      <c r="D63" s="74"/>
      <c r="E63" s="74"/>
      <c r="F63" s="74"/>
    </row>
    <row r="64" ht="19.5" customHeight="1">
      <c r="D64" s="74"/>
      <c r="E64" s="74"/>
      <c r="F64" s="74"/>
    </row>
    <row r="65" ht="19.5" customHeight="1">
      <c r="D65" s="74"/>
      <c r="E65" s="74"/>
      <c r="F65" s="74"/>
    </row>
    <row r="66" ht="19.5" customHeight="1">
      <c r="D66" s="74"/>
      <c r="E66" s="74"/>
      <c r="F66" s="74"/>
    </row>
    <row r="67" ht="19.5" customHeight="1">
      <c r="D67" s="74"/>
      <c r="E67" s="74"/>
      <c r="F67" s="74"/>
    </row>
    <row r="68" ht="19.5" customHeight="1">
      <c r="D68" s="74"/>
      <c r="E68" s="74"/>
      <c r="F68" s="74"/>
    </row>
    <row r="69" ht="19.5" customHeight="1">
      <c r="D69" s="74"/>
      <c r="E69" s="74"/>
      <c r="F69" s="74"/>
    </row>
    <row r="70" ht="19.5" customHeight="1">
      <c r="D70" s="74"/>
      <c r="E70" s="74"/>
      <c r="F70" s="74"/>
    </row>
    <row r="71" ht="19.5" customHeight="1">
      <c r="D71" s="74"/>
      <c r="E71" s="74"/>
      <c r="F71" s="74"/>
    </row>
    <row r="72" ht="19.5" customHeight="1">
      <c r="D72" s="74"/>
      <c r="E72" s="74"/>
      <c r="F72" s="74"/>
    </row>
    <row r="73" ht="19.5" customHeight="1">
      <c r="D73" s="74"/>
      <c r="E73" s="74"/>
      <c r="F73" s="74"/>
    </row>
    <row r="74" ht="19.5" customHeight="1">
      <c r="D74" s="74"/>
      <c r="E74" s="74"/>
      <c r="F74" s="74"/>
    </row>
    <row r="75" ht="19.5" customHeight="1">
      <c r="D75" s="74"/>
      <c r="E75" s="74"/>
      <c r="F75" s="74"/>
    </row>
    <row r="76" ht="19.5" customHeight="1">
      <c r="D76" s="74"/>
      <c r="E76" s="74"/>
      <c r="F76" s="74"/>
    </row>
    <row r="77" ht="19.5" customHeight="1">
      <c r="D77" s="74"/>
      <c r="E77" s="74"/>
      <c r="F77" s="74"/>
    </row>
    <row r="78" ht="19.5" customHeight="1">
      <c r="D78" s="74"/>
      <c r="E78" s="74"/>
      <c r="F78" s="74"/>
    </row>
    <row r="79" ht="19.5" customHeight="1">
      <c r="D79" s="74"/>
      <c r="E79" s="74"/>
      <c r="F79" s="74"/>
    </row>
    <row r="80" ht="19.5" customHeight="1">
      <c r="D80" s="74"/>
      <c r="E80" s="74"/>
      <c r="F80" s="74"/>
    </row>
    <row r="81" ht="19.5" customHeight="1">
      <c r="D81" s="74"/>
      <c r="E81" s="74"/>
      <c r="F81" s="74"/>
    </row>
    <row r="82" ht="19.5" customHeight="1">
      <c r="D82" s="74"/>
      <c r="E82" s="74"/>
      <c r="F82" s="74"/>
    </row>
    <row r="83" ht="19.5" customHeight="1">
      <c r="D83" s="74"/>
      <c r="E83" s="74"/>
      <c r="F83" s="74"/>
    </row>
    <row r="84" ht="19.5" customHeight="1">
      <c r="D84" s="74"/>
      <c r="E84" s="74"/>
      <c r="F84" s="74"/>
    </row>
    <row r="85" ht="19.5" customHeight="1">
      <c r="D85" s="74"/>
      <c r="E85" s="74"/>
      <c r="F85" s="74"/>
    </row>
    <row r="86" ht="19.5" customHeight="1">
      <c r="D86" s="74"/>
      <c r="E86" s="74"/>
      <c r="F86" s="74"/>
    </row>
    <row r="87" ht="19.5" customHeight="1">
      <c r="D87" s="74"/>
      <c r="E87" s="74"/>
      <c r="F87" s="74"/>
    </row>
    <row r="88" ht="19.5" customHeight="1">
      <c r="D88" s="74"/>
      <c r="E88" s="74"/>
      <c r="F88" s="74"/>
    </row>
    <row r="89" ht="19.5" customHeight="1">
      <c r="D89" s="74"/>
      <c r="E89" s="74"/>
      <c r="F89" s="74"/>
    </row>
    <row r="90" ht="19.5" customHeight="1">
      <c r="D90" s="74"/>
      <c r="E90" s="74"/>
      <c r="F90" s="74"/>
    </row>
    <row r="91" ht="19.5" customHeight="1">
      <c r="D91" s="74"/>
      <c r="E91" s="74"/>
      <c r="F91" s="74"/>
    </row>
    <row r="92" ht="19.5" customHeight="1">
      <c r="D92" s="74"/>
      <c r="E92" s="74"/>
      <c r="F92" s="74"/>
    </row>
    <row r="93" ht="19.5" customHeight="1">
      <c r="D93" s="74"/>
      <c r="E93" s="74"/>
      <c r="F93" s="74"/>
    </row>
    <row r="94" ht="19.5" customHeight="1">
      <c r="D94" s="74"/>
      <c r="E94" s="74"/>
      <c r="F94" s="74"/>
    </row>
    <row r="95" ht="19.5" customHeight="1">
      <c r="D95" s="74"/>
      <c r="E95" s="74"/>
      <c r="F95" s="74"/>
    </row>
    <row r="96" ht="19.5" customHeight="1">
      <c r="D96" s="74"/>
      <c r="E96" s="74"/>
      <c r="F96" s="74"/>
    </row>
    <row r="97" ht="19.5" customHeight="1">
      <c r="D97" s="74"/>
      <c r="E97" s="74"/>
      <c r="F97" s="74"/>
    </row>
    <row r="98" ht="19.5" customHeight="1">
      <c r="D98" s="74"/>
      <c r="E98" s="74"/>
      <c r="F98" s="74"/>
    </row>
    <row r="99" ht="19.5" customHeight="1">
      <c r="D99" s="74"/>
      <c r="E99" s="74"/>
      <c r="F99" s="74"/>
    </row>
    <row r="100" ht="19.5" customHeight="1">
      <c r="D100" s="74"/>
      <c r="E100" s="74"/>
      <c r="F100" s="74"/>
    </row>
    <row r="101" ht="19.5" customHeight="1">
      <c r="D101" s="74"/>
      <c r="E101" s="74"/>
      <c r="F101" s="74"/>
    </row>
    <row r="102" ht="19.5" customHeight="1">
      <c r="D102" s="74"/>
      <c r="E102" s="74"/>
      <c r="F102" s="74"/>
    </row>
    <row r="103" ht="19.5" customHeight="1">
      <c r="D103" s="74"/>
      <c r="E103" s="74"/>
      <c r="F103" s="74"/>
    </row>
    <row r="104" ht="19.5" customHeight="1">
      <c r="D104" s="74"/>
      <c r="E104" s="74"/>
      <c r="F104" s="74"/>
    </row>
    <row r="105" ht="19.5" customHeight="1">
      <c r="D105" s="74"/>
      <c r="E105" s="74"/>
      <c r="F105" s="74"/>
    </row>
    <row r="106" ht="19.5" customHeight="1">
      <c r="D106" s="74"/>
      <c r="E106" s="74"/>
      <c r="F106" s="74"/>
    </row>
    <row r="107" ht="19.5" customHeight="1">
      <c r="D107" s="74"/>
      <c r="E107" s="74"/>
      <c r="F107" s="74"/>
    </row>
    <row r="108" ht="19.5" customHeight="1">
      <c r="D108" s="74"/>
      <c r="E108" s="74"/>
      <c r="F108" s="74"/>
    </row>
    <row r="109" ht="19.5" customHeight="1">
      <c r="D109" s="74"/>
      <c r="E109" s="74"/>
      <c r="F109" s="74"/>
    </row>
    <row r="110" ht="19.5" customHeight="1">
      <c r="D110" s="74"/>
      <c r="E110" s="74"/>
      <c r="F110" s="74"/>
    </row>
    <row r="111" ht="19.5" customHeight="1">
      <c r="D111" s="74"/>
      <c r="E111" s="74"/>
      <c r="F111" s="74"/>
    </row>
    <row r="112" ht="19.5" customHeight="1">
      <c r="D112" s="74"/>
      <c r="E112" s="74"/>
      <c r="F112" s="74"/>
    </row>
    <row r="113" ht="19.5" customHeight="1">
      <c r="D113" s="74"/>
      <c r="E113" s="74"/>
      <c r="F113" s="74"/>
    </row>
    <row r="114" ht="19.5" customHeight="1">
      <c r="D114" s="74"/>
      <c r="E114" s="74"/>
      <c r="F114" s="74"/>
    </row>
    <row r="115" ht="19.5" customHeight="1">
      <c r="D115" s="74"/>
      <c r="E115" s="74"/>
      <c r="F115" s="74"/>
    </row>
    <row r="116" ht="19.5" customHeight="1">
      <c r="D116" s="74"/>
      <c r="E116" s="74"/>
      <c r="F116" s="74"/>
    </row>
    <row r="117" ht="19.5" customHeight="1">
      <c r="D117" s="74"/>
      <c r="E117" s="74"/>
      <c r="F117" s="74"/>
    </row>
    <row r="118" ht="19.5" customHeight="1">
      <c r="D118" s="74"/>
      <c r="E118" s="74"/>
      <c r="F118" s="74"/>
    </row>
    <row r="119" ht="19.5" customHeight="1">
      <c r="D119" s="74"/>
      <c r="E119" s="74"/>
      <c r="F119" s="74"/>
    </row>
    <row r="120" ht="19.5" customHeight="1">
      <c r="D120" s="74"/>
      <c r="E120" s="74"/>
      <c r="F120" s="74"/>
    </row>
    <row r="121" ht="19.5" customHeight="1">
      <c r="D121" s="74"/>
      <c r="E121" s="74"/>
      <c r="F121" s="74"/>
    </row>
    <row r="122" ht="19.5" customHeight="1">
      <c r="D122" s="74"/>
      <c r="E122" s="74"/>
      <c r="F122" s="74"/>
    </row>
    <row r="123" ht="19.5" customHeight="1">
      <c r="D123" s="74"/>
      <c r="E123" s="74"/>
      <c r="F123" s="74"/>
    </row>
    <row r="124" ht="19.5" customHeight="1">
      <c r="D124" s="74"/>
      <c r="E124" s="74"/>
      <c r="F124" s="74"/>
    </row>
    <row r="125" ht="19.5" customHeight="1">
      <c r="D125" s="74"/>
      <c r="E125" s="74"/>
      <c r="F125" s="74"/>
    </row>
    <row r="126" ht="19.5" customHeight="1">
      <c r="D126" s="74"/>
      <c r="E126" s="74"/>
      <c r="F126" s="74"/>
    </row>
    <row r="127" ht="19.5" customHeight="1">
      <c r="D127" s="74"/>
      <c r="E127" s="74"/>
      <c r="F127" s="74"/>
    </row>
    <row r="128" ht="19.5" customHeight="1">
      <c r="D128" s="74"/>
      <c r="E128" s="74"/>
      <c r="F128" s="74"/>
    </row>
    <row r="129" ht="19.5" customHeight="1">
      <c r="D129" s="74"/>
      <c r="E129" s="74"/>
      <c r="F129" s="74"/>
    </row>
    <row r="130" ht="19.5" customHeight="1">
      <c r="D130" s="74"/>
      <c r="E130" s="74"/>
      <c r="F130" s="74"/>
    </row>
    <row r="131" ht="19.5" customHeight="1">
      <c r="D131" s="74"/>
      <c r="E131" s="74"/>
      <c r="F131" s="74"/>
    </row>
    <row r="132" ht="19.5" customHeight="1">
      <c r="D132" s="74"/>
      <c r="E132" s="74"/>
      <c r="F132" s="74"/>
    </row>
    <row r="133" ht="19.5" customHeight="1">
      <c r="D133" s="74"/>
      <c r="E133" s="74"/>
      <c r="F133" s="74"/>
    </row>
    <row r="134" ht="19.5" customHeight="1">
      <c r="D134" s="74"/>
      <c r="E134" s="74"/>
      <c r="F134" s="74"/>
    </row>
    <row r="135" ht="19.5" customHeight="1">
      <c r="D135" s="74"/>
      <c r="E135" s="74"/>
      <c r="F135" s="74"/>
    </row>
    <row r="136" ht="19.5" customHeight="1">
      <c r="D136" s="74"/>
      <c r="E136" s="74"/>
      <c r="F136" s="74"/>
    </row>
    <row r="137" ht="19.5" customHeight="1">
      <c r="D137" s="74"/>
      <c r="E137" s="74"/>
      <c r="F137" s="74"/>
    </row>
    <row r="138" ht="19.5" customHeight="1">
      <c r="D138" s="74"/>
      <c r="E138" s="74"/>
      <c r="F138" s="74"/>
    </row>
    <row r="139" ht="19.5" customHeight="1">
      <c r="D139" s="74"/>
      <c r="E139" s="74"/>
      <c r="F139" s="74"/>
    </row>
    <row r="140" ht="19.5" customHeight="1">
      <c r="D140" s="74"/>
      <c r="E140" s="74"/>
      <c r="F140" s="74"/>
    </row>
    <row r="141" ht="19.5" customHeight="1">
      <c r="D141" s="74"/>
      <c r="E141" s="74"/>
      <c r="F141" s="74"/>
    </row>
    <row r="142" ht="19.5" customHeight="1">
      <c r="D142" s="74"/>
      <c r="E142" s="74"/>
      <c r="F142" s="74"/>
    </row>
    <row r="143" ht="19.5" customHeight="1">
      <c r="D143" s="74"/>
      <c r="E143" s="74"/>
      <c r="F143" s="74"/>
    </row>
    <row r="144" ht="19.5" customHeight="1">
      <c r="D144" s="74"/>
      <c r="E144" s="74"/>
      <c r="F144" s="74"/>
    </row>
    <row r="145" ht="19.5" customHeight="1">
      <c r="D145" s="74"/>
      <c r="E145" s="74"/>
      <c r="F145" s="74"/>
    </row>
    <row r="146" ht="19.5" customHeight="1">
      <c r="D146" s="74"/>
      <c r="E146" s="74"/>
      <c r="F146" s="74"/>
    </row>
    <row r="147" ht="19.5" customHeight="1">
      <c r="D147" s="74"/>
      <c r="E147" s="74"/>
      <c r="F147" s="74"/>
    </row>
    <row r="148" ht="19.5" customHeight="1">
      <c r="D148" s="74"/>
      <c r="E148" s="74"/>
      <c r="F148" s="74"/>
    </row>
    <row r="149" ht="19.5" customHeight="1">
      <c r="D149" s="74"/>
      <c r="E149" s="74"/>
      <c r="F149" s="74"/>
    </row>
    <row r="150" ht="19.5" customHeight="1">
      <c r="D150" s="74"/>
      <c r="E150" s="74"/>
      <c r="F150" s="74"/>
    </row>
    <row r="151" ht="19.5" customHeight="1">
      <c r="D151" s="74"/>
      <c r="E151" s="74"/>
      <c r="F151" s="74"/>
    </row>
    <row r="152" ht="19.5" customHeight="1">
      <c r="D152" s="74"/>
      <c r="E152" s="74"/>
      <c r="F152" s="74"/>
    </row>
    <row r="153" ht="19.5" customHeight="1">
      <c r="D153" s="74"/>
      <c r="E153" s="74"/>
      <c r="F153" s="74"/>
    </row>
    <row r="154" ht="19.5" customHeight="1">
      <c r="D154" s="74"/>
      <c r="E154" s="74"/>
      <c r="F154" s="74"/>
    </row>
    <row r="155" ht="19.5" customHeight="1">
      <c r="D155" s="74"/>
      <c r="E155" s="74"/>
      <c r="F155" s="74"/>
    </row>
    <row r="156" ht="19.5" customHeight="1">
      <c r="D156" s="74"/>
      <c r="E156" s="74"/>
      <c r="F156" s="74"/>
    </row>
    <row r="157" ht="19.5" customHeight="1">
      <c r="D157" s="74"/>
      <c r="E157" s="74"/>
      <c r="F157" s="74"/>
    </row>
    <row r="158" ht="19.5" customHeight="1">
      <c r="D158" s="74"/>
      <c r="E158" s="74"/>
      <c r="F158" s="74"/>
    </row>
    <row r="159" ht="19.5" customHeight="1">
      <c r="D159" s="74"/>
      <c r="E159" s="74"/>
      <c r="F159" s="74"/>
    </row>
    <row r="160" ht="19.5" customHeight="1">
      <c r="D160" s="74"/>
      <c r="E160" s="74"/>
      <c r="F160" s="74"/>
    </row>
    <row r="161" ht="19.5" customHeight="1">
      <c r="D161" s="74"/>
      <c r="E161" s="74"/>
      <c r="F161" s="74"/>
    </row>
    <row r="162" ht="19.5" customHeight="1">
      <c r="D162" s="74"/>
      <c r="E162" s="74"/>
      <c r="F162" s="74"/>
    </row>
    <row r="163" ht="19.5" customHeight="1">
      <c r="D163" s="74"/>
      <c r="E163" s="74"/>
      <c r="F163" s="74"/>
    </row>
    <row r="164" ht="19.5" customHeight="1">
      <c r="D164" s="74"/>
      <c r="E164" s="74"/>
      <c r="F164" s="74"/>
    </row>
    <row r="165" ht="19.5" customHeight="1">
      <c r="D165" s="74"/>
      <c r="E165" s="74"/>
      <c r="F165" s="74"/>
    </row>
    <row r="166" ht="19.5" customHeight="1">
      <c r="D166" s="74"/>
      <c r="E166" s="74"/>
      <c r="F166" s="74"/>
    </row>
    <row r="167" ht="19.5" customHeight="1">
      <c r="D167" s="74"/>
      <c r="E167" s="74"/>
      <c r="F167" s="74"/>
    </row>
    <row r="168" ht="19.5" customHeight="1">
      <c r="D168" s="74"/>
      <c r="E168" s="74"/>
      <c r="F168" s="74"/>
    </row>
    <row r="169" ht="19.5" customHeight="1">
      <c r="D169" s="74"/>
      <c r="E169" s="74"/>
      <c r="F169" s="74"/>
    </row>
    <row r="170" ht="19.5" customHeight="1">
      <c r="D170" s="74"/>
      <c r="E170" s="74"/>
      <c r="F170" s="74"/>
    </row>
    <row r="171" ht="19.5" customHeight="1">
      <c r="D171" s="74"/>
      <c r="E171" s="74"/>
      <c r="F171" s="74"/>
    </row>
    <row r="172" ht="19.5" customHeight="1">
      <c r="D172" s="74"/>
      <c r="E172" s="74"/>
      <c r="F172" s="74"/>
    </row>
    <row r="173" ht="19.5" customHeight="1">
      <c r="D173" s="74"/>
      <c r="E173" s="74"/>
      <c r="F173" s="74"/>
    </row>
    <row r="174" ht="19.5" customHeight="1">
      <c r="D174" s="74"/>
      <c r="E174" s="74"/>
      <c r="F174" s="74"/>
    </row>
    <row r="175" ht="19.5" customHeight="1">
      <c r="D175" s="74"/>
      <c r="E175" s="74"/>
      <c r="F175" s="74"/>
    </row>
    <row r="176" ht="19.5" customHeight="1">
      <c r="D176" s="74"/>
      <c r="E176" s="74"/>
      <c r="F176" s="74"/>
    </row>
    <row r="177" ht="19.5" customHeight="1">
      <c r="D177" s="74"/>
      <c r="E177" s="74"/>
      <c r="F177" s="74"/>
    </row>
    <row r="178" ht="19.5" customHeight="1">
      <c r="D178" s="74"/>
      <c r="E178" s="74"/>
      <c r="F178" s="74"/>
    </row>
    <row r="179" ht="19.5" customHeight="1">
      <c r="D179" s="74"/>
      <c r="E179" s="74"/>
      <c r="F179" s="74"/>
    </row>
    <row r="180" ht="19.5" customHeight="1">
      <c r="D180" s="74"/>
      <c r="E180" s="74"/>
      <c r="F180" s="74"/>
    </row>
    <row r="181" ht="19.5" customHeight="1">
      <c r="D181" s="74"/>
      <c r="E181" s="74"/>
      <c r="F181" s="74"/>
    </row>
    <row r="182" ht="19.5" customHeight="1">
      <c r="D182" s="74"/>
      <c r="E182" s="74"/>
      <c r="F182" s="74"/>
    </row>
    <row r="183" ht="19.5" customHeight="1">
      <c r="D183" s="74"/>
      <c r="E183" s="74"/>
      <c r="F183" s="74"/>
    </row>
    <row r="184" ht="19.5" customHeight="1">
      <c r="D184" s="74"/>
      <c r="E184" s="74"/>
      <c r="F184" s="74"/>
    </row>
    <row r="185" ht="19.5" customHeight="1">
      <c r="D185" s="74"/>
      <c r="E185" s="74"/>
      <c r="F185" s="74"/>
    </row>
    <row r="186" ht="19.5" customHeight="1">
      <c r="D186" s="74"/>
      <c r="E186" s="74"/>
      <c r="F186" s="74"/>
    </row>
    <row r="187" ht="19.5" customHeight="1">
      <c r="D187" s="74"/>
      <c r="E187" s="74"/>
      <c r="F187" s="74"/>
    </row>
    <row r="188" ht="19.5" customHeight="1">
      <c r="D188" s="74"/>
      <c r="E188" s="74"/>
      <c r="F188" s="74"/>
    </row>
    <row r="189" ht="19.5" customHeight="1">
      <c r="D189" s="74"/>
      <c r="E189" s="74"/>
      <c r="F189" s="74"/>
    </row>
    <row r="190" ht="19.5" customHeight="1">
      <c r="D190" s="74"/>
      <c r="E190" s="74"/>
      <c r="F190" s="74"/>
    </row>
    <row r="191" ht="19.5" customHeight="1">
      <c r="D191" s="74"/>
      <c r="E191" s="74"/>
      <c r="F191" s="74"/>
    </row>
    <row r="192" ht="19.5" customHeight="1">
      <c r="D192" s="74"/>
      <c r="E192" s="74"/>
      <c r="F192" s="74"/>
    </row>
    <row r="193" ht="19.5" customHeight="1">
      <c r="D193" s="74"/>
      <c r="E193" s="74"/>
      <c r="F193" s="74"/>
    </row>
    <row r="194" ht="19.5" customHeight="1">
      <c r="D194" s="74"/>
      <c r="E194" s="74"/>
      <c r="F194" s="74"/>
    </row>
    <row r="195" ht="19.5" customHeight="1">
      <c r="D195" s="74"/>
      <c r="E195" s="74"/>
      <c r="F195" s="74"/>
    </row>
    <row r="196" ht="19.5" customHeight="1">
      <c r="D196" s="74"/>
      <c r="E196" s="74"/>
      <c r="F196" s="74"/>
    </row>
    <row r="197" ht="19.5" customHeight="1">
      <c r="D197" s="74"/>
      <c r="E197" s="74"/>
      <c r="F197" s="74"/>
    </row>
    <row r="198" ht="19.5" customHeight="1">
      <c r="D198" s="74"/>
      <c r="E198" s="74"/>
      <c r="F198" s="74"/>
    </row>
    <row r="199" ht="19.5" customHeight="1">
      <c r="D199" s="74"/>
      <c r="E199" s="74"/>
      <c r="F199" s="74"/>
    </row>
    <row r="200" ht="19.5" customHeight="1">
      <c r="D200" s="74"/>
      <c r="E200" s="74"/>
      <c r="F200" s="74"/>
    </row>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I1"/>
  </mergeCells>
  <dataValidations>
    <dataValidation type="list" allowBlank="1" sqref="F4:F200">
      <formula1>"Active,Inactive,On Leave"</formula1>
    </dataValidation>
    <dataValidation type="list" allowBlank="1" sqref="D4:E200">
      <formula1>"Editor,Writer,Designer,IT,Marketing,Leadership,Part Timer,Nothing Else"</formula1>
    </dataValidation>
  </dataValidation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4.43" defaultRowHeight="15.0"/>
  <cols>
    <col customWidth="1" min="1" max="1" width="5.86"/>
    <col customWidth="1" min="2" max="2" width="12.0"/>
    <col customWidth="1" min="3" max="3" width="20.0"/>
    <col customWidth="1" min="4" max="4" width="22.0"/>
    <col customWidth="1" min="5" max="5" width="12.29"/>
    <col customWidth="1" min="6" max="7" width="12.0"/>
    <col customWidth="1" min="8" max="9" width="10.0"/>
    <col customWidth="1" min="10" max="10" width="12.0"/>
    <col customWidth="1" min="11" max="11" width="28.86"/>
    <col customWidth="1" min="12" max="12" width="25.14"/>
    <col customWidth="1" min="13" max="13" width="18.0"/>
    <col customWidth="1" min="14" max="14" width="22.0"/>
    <col customWidth="1" min="15" max="15" width="32.57"/>
    <col customWidth="1" min="16" max="16" width="17.29"/>
    <col customWidth="1" min="17" max="24" width="8.71"/>
  </cols>
  <sheetData>
    <row r="1" ht="31.5" customHeight="1">
      <c r="A1" s="26" t="s">
        <v>99</v>
      </c>
      <c r="B1" s="2"/>
      <c r="C1" s="2"/>
      <c r="D1" s="2"/>
      <c r="E1" s="2"/>
      <c r="F1" s="2"/>
      <c r="G1" s="2"/>
      <c r="H1" s="2"/>
      <c r="I1" s="2"/>
      <c r="J1" s="3"/>
      <c r="K1" s="75"/>
      <c r="L1" s="76"/>
      <c r="M1" s="75"/>
      <c r="N1" s="75"/>
      <c r="O1" s="76"/>
    </row>
    <row r="2">
      <c r="A2" s="27" t="s">
        <v>100</v>
      </c>
      <c r="B2" s="28">
        <f>COUNTA(A4:A200)</f>
        <v>14</v>
      </c>
      <c r="E2" s="77"/>
      <c r="K2" s="75"/>
      <c r="L2" s="76"/>
      <c r="M2" s="75"/>
      <c r="N2" s="75"/>
      <c r="O2" s="76"/>
    </row>
    <row r="3" ht="37.5" customHeight="1">
      <c r="A3" s="29" t="s">
        <v>101</v>
      </c>
      <c r="B3" s="78" t="s">
        <v>102</v>
      </c>
      <c r="C3" s="29" t="s">
        <v>103</v>
      </c>
      <c r="D3" s="30" t="s">
        <v>104</v>
      </c>
      <c r="E3" s="29" t="s">
        <v>105</v>
      </c>
      <c r="F3" s="29" t="s">
        <v>106</v>
      </c>
      <c r="G3" s="29" t="s">
        <v>107</v>
      </c>
      <c r="H3" s="29" t="s">
        <v>108</v>
      </c>
      <c r="I3" s="29" t="s">
        <v>109</v>
      </c>
      <c r="J3" s="29" t="s">
        <v>110</v>
      </c>
      <c r="K3" s="29" t="s">
        <v>111</v>
      </c>
      <c r="L3" s="30" t="s">
        <v>112</v>
      </c>
      <c r="M3" s="30" t="s">
        <v>113</v>
      </c>
      <c r="N3" s="30" t="s">
        <v>114</v>
      </c>
      <c r="O3" s="29" t="s">
        <v>115</v>
      </c>
      <c r="P3" s="79" t="s">
        <v>116</v>
      </c>
    </row>
    <row r="4" ht="27.75" customHeight="1">
      <c r="A4" s="80" t="s">
        <v>117</v>
      </c>
      <c r="B4" s="81">
        <v>46086.0</v>
      </c>
      <c r="C4" s="82" t="s">
        <v>118</v>
      </c>
      <c r="D4" s="82" t="s">
        <v>119</v>
      </c>
      <c r="E4" s="82" t="s">
        <v>120</v>
      </c>
      <c r="F4" s="82">
        <v>35.0</v>
      </c>
      <c r="G4" s="82" t="s">
        <v>121</v>
      </c>
      <c r="H4" s="82">
        <v>13.0</v>
      </c>
      <c r="I4" s="82">
        <v>11.0</v>
      </c>
      <c r="J4" s="83">
        <v>0.85</v>
      </c>
      <c r="K4" s="82" t="s">
        <v>122</v>
      </c>
      <c r="L4" s="82" t="s">
        <v>123</v>
      </c>
      <c r="M4" s="84" t="s">
        <v>124</v>
      </c>
      <c r="N4" s="85" t="s">
        <v>125</v>
      </c>
      <c r="O4" s="82" t="s">
        <v>126</v>
      </c>
      <c r="P4" s="86">
        <f>SUM(J4:J100)</f>
        <v>10.85595238</v>
      </c>
    </row>
    <row r="5" ht="27.75" customHeight="1">
      <c r="A5" s="87" t="s">
        <v>127</v>
      </c>
      <c r="B5" s="88">
        <v>46090.0</v>
      </c>
      <c r="C5" s="50" t="s">
        <v>128</v>
      </c>
      <c r="D5" s="50" t="s">
        <v>129</v>
      </c>
      <c r="E5" s="89" t="s">
        <v>120</v>
      </c>
      <c r="F5" s="50">
        <v>45.0</v>
      </c>
      <c r="G5" s="50" t="s">
        <v>121</v>
      </c>
      <c r="H5" s="50">
        <v>4.0</v>
      </c>
      <c r="I5" s="50">
        <v>3.0</v>
      </c>
      <c r="J5" s="90">
        <f t="shared" ref="J5:J200" si="1">IFERROR(I5/H5,0)</f>
        <v>0.75</v>
      </c>
      <c r="K5" s="89" t="s">
        <v>130</v>
      </c>
      <c r="L5" s="50" t="s">
        <v>123</v>
      </c>
      <c r="M5" s="89" t="s">
        <v>131</v>
      </c>
      <c r="N5" s="91" t="s">
        <v>132</v>
      </c>
      <c r="O5" s="92"/>
    </row>
    <row r="6" ht="27.75" customHeight="1">
      <c r="A6" s="93" t="s">
        <v>133</v>
      </c>
      <c r="B6" s="94">
        <v>46092.0</v>
      </c>
      <c r="C6" s="40" t="s">
        <v>134</v>
      </c>
      <c r="D6" s="95" t="s">
        <v>135</v>
      </c>
      <c r="E6" s="95" t="s">
        <v>120</v>
      </c>
      <c r="F6" s="40">
        <v>50.0</v>
      </c>
      <c r="G6" s="40" t="s">
        <v>136</v>
      </c>
      <c r="H6" s="40">
        <v>4.0</v>
      </c>
      <c r="I6" s="40">
        <v>3.0</v>
      </c>
      <c r="J6" s="96">
        <f t="shared" si="1"/>
        <v>0.75</v>
      </c>
      <c r="K6" s="95" t="s">
        <v>137</v>
      </c>
      <c r="L6" s="40" t="s">
        <v>123</v>
      </c>
      <c r="M6" s="95" t="s">
        <v>138</v>
      </c>
      <c r="N6" s="97" t="s">
        <v>139</v>
      </c>
      <c r="O6" s="95" t="s">
        <v>140</v>
      </c>
    </row>
    <row r="7" ht="27.75" customHeight="1">
      <c r="A7" s="98" t="s">
        <v>141</v>
      </c>
      <c r="B7" s="99">
        <v>46086.0</v>
      </c>
      <c r="C7" s="35" t="s">
        <v>142</v>
      </c>
      <c r="D7" s="35" t="s">
        <v>143</v>
      </c>
      <c r="E7" s="100" t="s">
        <v>144</v>
      </c>
      <c r="F7" s="35">
        <v>55.0</v>
      </c>
      <c r="G7" s="35" t="s">
        <v>145</v>
      </c>
      <c r="H7" s="35">
        <v>6.0</v>
      </c>
      <c r="I7" s="35">
        <v>5.0</v>
      </c>
      <c r="J7" s="101">
        <f t="shared" si="1"/>
        <v>0.8333333333</v>
      </c>
      <c r="K7" s="100" t="s">
        <v>146</v>
      </c>
      <c r="L7" s="35" t="s">
        <v>147</v>
      </c>
      <c r="M7" s="100" t="s">
        <v>148</v>
      </c>
      <c r="N7" s="102" t="s">
        <v>149</v>
      </c>
      <c r="O7" s="100" t="s">
        <v>150</v>
      </c>
    </row>
    <row r="8" ht="27.75" customHeight="1">
      <c r="A8" s="98" t="s">
        <v>151</v>
      </c>
      <c r="B8" s="99">
        <v>46093.0</v>
      </c>
      <c r="C8" s="35" t="s">
        <v>152</v>
      </c>
      <c r="D8" s="35" t="s">
        <v>153</v>
      </c>
      <c r="E8" s="100" t="s">
        <v>120</v>
      </c>
      <c r="F8" s="35">
        <v>60.0</v>
      </c>
      <c r="G8" s="35" t="s">
        <v>154</v>
      </c>
      <c r="H8" s="35">
        <v>7.0</v>
      </c>
      <c r="I8" s="35">
        <v>6.0</v>
      </c>
      <c r="J8" s="101">
        <f t="shared" si="1"/>
        <v>0.8571428571</v>
      </c>
      <c r="K8" s="100" t="s">
        <v>130</v>
      </c>
      <c r="L8" s="35" t="s">
        <v>123</v>
      </c>
      <c r="M8" s="100" t="s">
        <v>138</v>
      </c>
      <c r="N8" s="91" t="s">
        <v>132</v>
      </c>
      <c r="O8" s="103" t="s">
        <v>155</v>
      </c>
      <c r="P8" s="104"/>
    </row>
    <row r="9" ht="27.75" customHeight="1">
      <c r="A9" s="98" t="s">
        <v>156</v>
      </c>
      <c r="B9" s="99">
        <v>46094.0</v>
      </c>
      <c r="C9" s="35" t="s">
        <v>157</v>
      </c>
      <c r="D9" s="35" t="s">
        <v>158</v>
      </c>
      <c r="E9" s="100" t="s">
        <v>120</v>
      </c>
      <c r="F9" s="35">
        <v>50.0</v>
      </c>
      <c r="G9" s="35" t="s">
        <v>159</v>
      </c>
      <c r="H9" s="35">
        <v>8.0</v>
      </c>
      <c r="I9" s="35">
        <v>4.0</v>
      </c>
      <c r="J9" s="101">
        <f t="shared" si="1"/>
        <v>0.5</v>
      </c>
      <c r="K9" s="105"/>
      <c r="L9" s="35" t="s">
        <v>123</v>
      </c>
      <c r="M9" s="105"/>
      <c r="N9" s="105"/>
      <c r="O9" s="106"/>
      <c r="P9" s="104"/>
    </row>
    <row r="10" ht="27.75" customHeight="1">
      <c r="A10" s="98" t="s">
        <v>160</v>
      </c>
      <c r="B10" s="99">
        <v>46096.0</v>
      </c>
      <c r="C10" s="35" t="s">
        <v>161</v>
      </c>
      <c r="D10" s="35" t="s">
        <v>143</v>
      </c>
      <c r="E10" s="100" t="s">
        <v>120</v>
      </c>
      <c r="F10" s="35">
        <v>40.0</v>
      </c>
      <c r="G10" s="35">
        <v>601.0</v>
      </c>
      <c r="H10" s="35">
        <v>8.0</v>
      </c>
      <c r="I10" s="35">
        <v>5.0</v>
      </c>
      <c r="J10" s="101">
        <f t="shared" si="1"/>
        <v>0.625</v>
      </c>
      <c r="K10" s="100" t="s">
        <v>162</v>
      </c>
      <c r="L10" s="35" t="s">
        <v>123</v>
      </c>
      <c r="M10" s="100" t="s">
        <v>131</v>
      </c>
      <c r="N10" s="102" t="s">
        <v>163</v>
      </c>
      <c r="O10" s="103"/>
      <c r="P10" s="104"/>
    </row>
    <row r="11" ht="27.75" customHeight="1">
      <c r="A11" s="98" t="s">
        <v>164</v>
      </c>
      <c r="B11" s="99">
        <v>46093.0</v>
      </c>
      <c r="C11" s="35" t="s">
        <v>165</v>
      </c>
      <c r="D11" s="35" t="s">
        <v>166</v>
      </c>
      <c r="E11" s="100" t="s">
        <v>144</v>
      </c>
      <c r="F11" s="35">
        <v>50.0</v>
      </c>
      <c r="G11" s="35" t="s">
        <v>121</v>
      </c>
      <c r="H11" s="35">
        <v>6.0</v>
      </c>
      <c r="I11" s="35">
        <v>4.0</v>
      </c>
      <c r="J11" s="101">
        <f t="shared" si="1"/>
        <v>0.6666666667</v>
      </c>
      <c r="K11" s="100" t="s">
        <v>167</v>
      </c>
      <c r="L11" s="35" t="s">
        <v>147</v>
      </c>
      <c r="M11" s="100" t="s">
        <v>131</v>
      </c>
      <c r="N11" s="102" t="s">
        <v>168</v>
      </c>
      <c r="O11" s="103" t="s">
        <v>169</v>
      </c>
      <c r="P11" s="104"/>
    </row>
    <row r="12" ht="27.75" customHeight="1">
      <c r="A12" s="98" t="s">
        <v>170</v>
      </c>
      <c r="B12" s="99">
        <v>46097.0</v>
      </c>
      <c r="C12" s="35" t="s">
        <v>171</v>
      </c>
      <c r="D12" s="35" t="s">
        <v>172</v>
      </c>
      <c r="E12" s="100" t="s">
        <v>173</v>
      </c>
      <c r="F12" s="35">
        <v>50.0</v>
      </c>
      <c r="G12" s="35" t="s">
        <v>121</v>
      </c>
      <c r="H12" s="35">
        <v>3.0</v>
      </c>
      <c r="I12" s="35">
        <v>2.0</v>
      </c>
      <c r="J12" s="101">
        <f t="shared" si="1"/>
        <v>0.6666666667</v>
      </c>
      <c r="K12" s="100" t="s">
        <v>174</v>
      </c>
      <c r="L12" s="35" t="s">
        <v>123</v>
      </c>
      <c r="M12" s="100" t="s">
        <v>131</v>
      </c>
      <c r="N12" s="105"/>
      <c r="O12" s="103" t="s">
        <v>175</v>
      </c>
      <c r="P12" s="104"/>
    </row>
    <row r="13" ht="27.75" customHeight="1">
      <c r="A13" s="98" t="s">
        <v>176</v>
      </c>
      <c r="B13" s="99">
        <v>46099.0</v>
      </c>
      <c r="C13" s="35" t="s">
        <v>177</v>
      </c>
      <c r="D13" s="35" t="s">
        <v>178</v>
      </c>
      <c r="E13" s="100" t="s">
        <v>120</v>
      </c>
      <c r="F13" s="35">
        <v>50.0</v>
      </c>
      <c r="G13" s="35" t="s">
        <v>136</v>
      </c>
      <c r="H13" s="35">
        <v>3.0</v>
      </c>
      <c r="I13" s="35">
        <v>2.0</v>
      </c>
      <c r="J13" s="101">
        <f t="shared" si="1"/>
        <v>0.6666666667</v>
      </c>
      <c r="K13" s="100" t="s">
        <v>179</v>
      </c>
      <c r="L13" s="35" t="s">
        <v>123</v>
      </c>
      <c r="M13" s="100" t="s">
        <v>131</v>
      </c>
      <c r="N13" s="102" t="s">
        <v>180</v>
      </c>
      <c r="O13" s="103" t="s">
        <v>181</v>
      </c>
      <c r="P13" s="104"/>
    </row>
    <row r="14" ht="27.75" customHeight="1">
      <c r="A14" s="98" t="s">
        <v>182</v>
      </c>
      <c r="B14" s="99">
        <v>46100.0</v>
      </c>
      <c r="C14" s="35" t="s">
        <v>183</v>
      </c>
      <c r="D14" s="35" t="s">
        <v>184</v>
      </c>
      <c r="E14" s="100" t="s">
        <v>120</v>
      </c>
      <c r="F14" s="35">
        <v>50.0</v>
      </c>
      <c r="G14" s="35" t="s">
        <v>121</v>
      </c>
      <c r="H14" s="35">
        <v>7.0</v>
      </c>
      <c r="I14" s="35">
        <v>6.0</v>
      </c>
      <c r="J14" s="101">
        <f t="shared" si="1"/>
        <v>0.8571428571</v>
      </c>
      <c r="K14" s="100" t="s">
        <v>185</v>
      </c>
      <c r="L14" s="35" t="s">
        <v>123</v>
      </c>
      <c r="M14" s="100" t="s">
        <v>186</v>
      </c>
      <c r="N14" s="102" t="s">
        <v>187</v>
      </c>
      <c r="O14" s="106"/>
      <c r="P14" s="104"/>
    </row>
    <row r="15" ht="27.75" customHeight="1">
      <c r="A15" s="98" t="s">
        <v>188</v>
      </c>
      <c r="B15" s="99">
        <v>46100.0</v>
      </c>
      <c r="C15" s="35" t="s">
        <v>189</v>
      </c>
      <c r="D15" s="35" t="s">
        <v>190</v>
      </c>
      <c r="E15" s="100" t="s">
        <v>144</v>
      </c>
      <c r="F15" s="35">
        <v>45.0</v>
      </c>
      <c r="G15" s="35" t="s">
        <v>145</v>
      </c>
      <c r="H15" s="35">
        <v>6.0</v>
      </c>
      <c r="I15" s="35">
        <v>5.0</v>
      </c>
      <c r="J15" s="101">
        <f t="shared" si="1"/>
        <v>0.8333333333</v>
      </c>
      <c r="K15" s="100" t="s">
        <v>191</v>
      </c>
      <c r="L15" s="35" t="s">
        <v>147</v>
      </c>
      <c r="M15" s="100" t="s">
        <v>131</v>
      </c>
      <c r="N15" s="102" t="s">
        <v>192</v>
      </c>
      <c r="O15" s="103" t="s">
        <v>150</v>
      </c>
      <c r="P15" s="104"/>
    </row>
    <row r="16" ht="27.75" customHeight="1">
      <c r="A16" s="98" t="s">
        <v>176</v>
      </c>
      <c r="B16" s="99">
        <v>46103.0</v>
      </c>
      <c r="C16" s="35" t="s">
        <v>177</v>
      </c>
      <c r="D16" s="35" t="s">
        <v>193</v>
      </c>
      <c r="E16" s="100" t="s">
        <v>173</v>
      </c>
      <c r="F16" s="35">
        <v>40.0</v>
      </c>
      <c r="G16" s="35" t="s">
        <v>194</v>
      </c>
      <c r="H16" s="35">
        <v>2.0</v>
      </c>
      <c r="I16" s="35">
        <v>2.0</v>
      </c>
      <c r="J16" s="101">
        <f t="shared" si="1"/>
        <v>1</v>
      </c>
      <c r="K16" s="100" t="s">
        <v>195</v>
      </c>
      <c r="L16" s="35" t="s">
        <v>123</v>
      </c>
      <c r="M16" s="100" t="s">
        <v>131</v>
      </c>
      <c r="N16" s="107"/>
      <c r="O16" s="106"/>
      <c r="P16" s="104"/>
    </row>
    <row r="17" ht="27.75" customHeight="1">
      <c r="A17" s="98" t="s">
        <v>196</v>
      </c>
      <c r="B17" s="108">
        <v>46106.0</v>
      </c>
      <c r="C17" s="35" t="s">
        <v>197</v>
      </c>
      <c r="D17" s="35" t="s">
        <v>198</v>
      </c>
      <c r="E17" s="100" t="s">
        <v>120</v>
      </c>
      <c r="F17" s="35">
        <v>50.0</v>
      </c>
      <c r="G17" s="35" t="s">
        <v>199</v>
      </c>
      <c r="H17" s="35">
        <v>2.0</v>
      </c>
      <c r="I17" s="35">
        <v>2.0</v>
      </c>
      <c r="J17" s="101">
        <f t="shared" si="1"/>
        <v>1</v>
      </c>
      <c r="K17" s="100" t="s">
        <v>200</v>
      </c>
      <c r="L17" s="35" t="s">
        <v>123</v>
      </c>
      <c r="M17" s="100" t="s">
        <v>131</v>
      </c>
      <c r="N17" s="109" t="s">
        <v>201</v>
      </c>
      <c r="O17" s="103" t="s">
        <v>202</v>
      </c>
      <c r="P17" s="104"/>
    </row>
    <row r="18" ht="27.75" customHeight="1">
      <c r="A18" s="110"/>
      <c r="B18" s="111"/>
      <c r="C18" s="111"/>
      <c r="D18" s="111"/>
      <c r="E18" s="105"/>
      <c r="F18" s="111"/>
      <c r="G18" s="111"/>
      <c r="H18" s="111"/>
      <c r="I18" s="111"/>
      <c r="J18" s="101">
        <f t="shared" si="1"/>
        <v>0</v>
      </c>
      <c r="K18" s="105"/>
      <c r="L18" s="111"/>
      <c r="M18" s="105"/>
      <c r="N18" s="105"/>
      <c r="O18" s="106"/>
      <c r="P18" s="104"/>
    </row>
    <row r="19" ht="27.75" customHeight="1">
      <c r="A19" s="110"/>
      <c r="B19" s="111"/>
      <c r="C19" s="111"/>
      <c r="D19" s="111"/>
      <c r="E19" s="105"/>
      <c r="F19" s="111"/>
      <c r="G19" s="111"/>
      <c r="H19" s="111"/>
      <c r="I19" s="111"/>
      <c r="J19" s="101">
        <f t="shared" si="1"/>
        <v>0</v>
      </c>
      <c r="K19" s="105"/>
      <c r="L19" s="111"/>
      <c r="M19" s="105"/>
      <c r="N19" s="105"/>
      <c r="O19" s="106"/>
      <c r="P19" s="104"/>
    </row>
    <row r="20" ht="27.75" customHeight="1">
      <c r="A20" s="110"/>
      <c r="B20" s="111"/>
      <c r="C20" s="111"/>
      <c r="D20" s="111"/>
      <c r="E20" s="105"/>
      <c r="F20" s="111"/>
      <c r="G20" s="111"/>
      <c r="H20" s="111"/>
      <c r="I20" s="111"/>
      <c r="J20" s="101">
        <f t="shared" si="1"/>
        <v>0</v>
      </c>
      <c r="K20" s="105"/>
      <c r="L20" s="111"/>
      <c r="M20" s="105"/>
      <c r="N20" s="105"/>
      <c r="O20" s="106"/>
      <c r="P20" s="104"/>
    </row>
    <row r="21" ht="27.75" customHeight="1">
      <c r="A21" s="110"/>
      <c r="B21" s="111"/>
      <c r="C21" s="111"/>
      <c r="D21" s="111"/>
      <c r="E21" s="105"/>
      <c r="F21" s="111"/>
      <c r="G21" s="111"/>
      <c r="H21" s="111"/>
      <c r="I21" s="111"/>
      <c r="J21" s="101">
        <f t="shared" si="1"/>
        <v>0</v>
      </c>
      <c r="K21" s="105"/>
      <c r="L21" s="111"/>
      <c r="M21" s="105"/>
      <c r="N21" s="105"/>
      <c r="O21" s="106"/>
      <c r="P21" s="104"/>
    </row>
    <row r="22" ht="27.75" customHeight="1">
      <c r="A22" s="110"/>
      <c r="B22" s="111"/>
      <c r="C22" s="111"/>
      <c r="D22" s="111"/>
      <c r="E22" s="105"/>
      <c r="F22" s="111"/>
      <c r="G22" s="111"/>
      <c r="H22" s="111"/>
      <c r="I22" s="111"/>
      <c r="J22" s="101">
        <f t="shared" si="1"/>
        <v>0</v>
      </c>
      <c r="K22" s="105"/>
      <c r="L22" s="111"/>
      <c r="M22" s="105"/>
      <c r="N22" s="105"/>
      <c r="O22" s="106"/>
      <c r="P22" s="104"/>
    </row>
    <row r="23" ht="27.75" customHeight="1">
      <c r="A23" s="110"/>
      <c r="B23" s="111"/>
      <c r="C23" s="111"/>
      <c r="D23" s="111"/>
      <c r="E23" s="105"/>
      <c r="F23" s="111"/>
      <c r="G23" s="111"/>
      <c r="H23" s="111"/>
      <c r="I23" s="111"/>
      <c r="J23" s="101">
        <f t="shared" si="1"/>
        <v>0</v>
      </c>
      <c r="K23" s="105"/>
      <c r="L23" s="111"/>
      <c r="M23" s="105"/>
      <c r="N23" s="105"/>
      <c r="O23" s="106"/>
      <c r="P23" s="104"/>
    </row>
    <row r="24" ht="27.75" customHeight="1">
      <c r="A24" s="110"/>
      <c r="B24" s="111"/>
      <c r="C24" s="111"/>
      <c r="D24" s="111"/>
      <c r="E24" s="105"/>
      <c r="F24" s="111"/>
      <c r="G24" s="111"/>
      <c r="H24" s="111"/>
      <c r="I24" s="111"/>
      <c r="J24" s="101">
        <f t="shared" si="1"/>
        <v>0</v>
      </c>
      <c r="K24" s="105"/>
      <c r="L24" s="111"/>
      <c r="M24" s="105"/>
      <c r="N24" s="105"/>
      <c r="O24" s="106"/>
      <c r="P24" s="104"/>
    </row>
    <row r="25" ht="27.75" customHeight="1">
      <c r="A25" s="110"/>
      <c r="B25" s="111"/>
      <c r="C25" s="111"/>
      <c r="D25" s="111"/>
      <c r="E25" s="105"/>
      <c r="F25" s="111"/>
      <c r="G25" s="111"/>
      <c r="H25" s="111"/>
      <c r="I25" s="111"/>
      <c r="J25" s="101">
        <f t="shared" si="1"/>
        <v>0</v>
      </c>
      <c r="K25" s="105"/>
      <c r="L25" s="111"/>
      <c r="M25" s="105"/>
      <c r="N25" s="105"/>
      <c r="O25" s="106"/>
      <c r="P25" s="104"/>
    </row>
    <row r="26" ht="27.75" customHeight="1">
      <c r="A26" s="110"/>
      <c r="B26" s="111"/>
      <c r="C26" s="111"/>
      <c r="D26" s="111"/>
      <c r="E26" s="105"/>
      <c r="F26" s="111"/>
      <c r="G26" s="111"/>
      <c r="H26" s="111"/>
      <c r="I26" s="111"/>
      <c r="J26" s="101">
        <f t="shared" si="1"/>
        <v>0</v>
      </c>
      <c r="K26" s="105"/>
      <c r="L26" s="111"/>
      <c r="M26" s="105"/>
      <c r="N26" s="105"/>
      <c r="O26" s="106"/>
      <c r="P26" s="104"/>
    </row>
    <row r="27" ht="27.75" customHeight="1">
      <c r="A27" s="110"/>
      <c r="B27" s="111"/>
      <c r="C27" s="111"/>
      <c r="D27" s="111"/>
      <c r="E27" s="105"/>
      <c r="F27" s="111"/>
      <c r="G27" s="111"/>
      <c r="H27" s="111"/>
      <c r="I27" s="111"/>
      <c r="J27" s="101">
        <f t="shared" si="1"/>
        <v>0</v>
      </c>
      <c r="K27" s="105"/>
      <c r="L27" s="111"/>
      <c r="M27" s="105"/>
      <c r="N27" s="105"/>
      <c r="O27" s="106"/>
      <c r="P27" s="104"/>
    </row>
    <row r="28" ht="27.75" customHeight="1">
      <c r="A28" s="110"/>
      <c r="B28" s="111"/>
      <c r="C28" s="111"/>
      <c r="D28" s="111"/>
      <c r="E28" s="105"/>
      <c r="F28" s="111"/>
      <c r="G28" s="111"/>
      <c r="H28" s="111"/>
      <c r="I28" s="111"/>
      <c r="J28" s="101">
        <f t="shared" si="1"/>
        <v>0</v>
      </c>
      <c r="K28" s="105"/>
      <c r="L28" s="111"/>
      <c r="M28" s="105"/>
      <c r="N28" s="105"/>
      <c r="O28" s="106"/>
      <c r="P28" s="104"/>
    </row>
    <row r="29" ht="27.75" customHeight="1">
      <c r="A29" s="110"/>
      <c r="B29" s="111"/>
      <c r="C29" s="111"/>
      <c r="D29" s="111"/>
      <c r="E29" s="105"/>
      <c r="F29" s="111"/>
      <c r="G29" s="111"/>
      <c r="H29" s="111"/>
      <c r="I29" s="111"/>
      <c r="J29" s="101">
        <f t="shared" si="1"/>
        <v>0</v>
      </c>
      <c r="K29" s="105"/>
      <c r="L29" s="111"/>
      <c r="M29" s="105"/>
      <c r="N29" s="105"/>
      <c r="O29" s="106"/>
      <c r="P29" s="104"/>
    </row>
    <row r="30" ht="27.75" customHeight="1">
      <c r="A30" s="110"/>
      <c r="B30" s="111"/>
      <c r="C30" s="111"/>
      <c r="D30" s="111"/>
      <c r="E30" s="105"/>
      <c r="F30" s="111"/>
      <c r="G30" s="111"/>
      <c r="H30" s="111"/>
      <c r="I30" s="111"/>
      <c r="J30" s="101">
        <f t="shared" si="1"/>
        <v>0</v>
      </c>
      <c r="K30" s="105"/>
      <c r="L30" s="111"/>
      <c r="M30" s="105"/>
      <c r="N30" s="105"/>
      <c r="O30" s="106"/>
      <c r="P30" s="104"/>
    </row>
    <row r="31" ht="27.75" customHeight="1">
      <c r="A31" s="110"/>
      <c r="B31" s="111"/>
      <c r="C31" s="111"/>
      <c r="D31" s="111"/>
      <c r="E31" s="105"/>
      <c r="F31" s="111"/>
      <c r="G31" s="111"/>
      <c r="H31" s="111"/>
      <c r="I31" s="111"/>
      <c r="J31" s="101">
        <f t="shared" si="1"/>
        <v>0</v>
      </c>
      <c r="K31" s="105"/>
      <c r="L31" s="111"/>
      <c r="M31" s="105"/>
      <c r="N31" s="105"/>
      <c r="O31" s="106"/>
      <c r="P31" s="104"/>
    </row>
    <row r="32" ht="27.75" customHeight="1">
      <c r="A32" s="110"/>
      <c r="B32" s="111"/>
      <c r="C32" s="111"/>
      <c r="D32" s="111"/>
      <c r="E32" s="105"/>
      <c r="F32" s="111"/>
      <c r="G32" s="111"/>
      <c r="H32" s="111"/>
      <c r="I32" s="111"/>
      <c r="J32" s="101">
        <f t="shared" si="1"/>
        <v>0</v>
      </c>
      <c r="K32" s="105"/>
      <c r="L32" s="111"/>
      <c r="M32" s="105"/>
      <c r="N32" s="105"/>
      <c r="O32" s="106"/>
      <c r="P32" s="104"/>
    </row>
    <row r="33" ht="27.75" customHeight="1">
      <c r="A33" s="110"/>
      <c r="B33" s="111"/>
      <c r="C33" s="111"/>
      <c r="D33" s="111"/>
      <c r="E33" s="105"/>
      <c r="F33" s="111"/>
      <c r="G33" s="111"/>
      <c r="H33" s="111"/>
      <c r="I33" s="111"/>
      <c r="J33" s="101">
        <f t="shared" si="1"/>
        <v>0</v>
      </c>
      <c r="K33" s="105"/>
      <c r="L33" s="111"/>
      <c r="M33" s="105"/>
      <c r="N33" s="105"/>
      <c r="O33" s="106"/>
      <c r="P33" s="104"/>
    </row>
    <row r="34" ht="27.75" customHeight="1">
      <c r="A34" s="110"/>
      <c r="B34" s="111"/>
      <c r="C34" s="111"/>
      <c r="D34" s="111"/>
      <c r="E34" s="105"/>
      <c r="F34" s="111"/>
      <c r="G34" s="111"/>
      <c r="H34" s="111"/>
      <c r="I34" s="111"/>
      <c r="J34" s="101">
        <f t="shared" si="1"/>
        <v>0</v>
      </c>
      <c r="K34" s="105"/>
      <c r="L34" s="111"/>
      <c r="M34" s="105"/>
      <c r="N34" s="105"/>
      <c r="O34" s="106"/>
      <c r="P34" s="104"/>
    </row>
    <row r="35" ht="27.75" customHeight="1">
      <c r="A35" s="110"/>
      <c r="B35" s="111"/>
      <c r="C35" s="111"/>
      <c r="D35" s="111"/>
      <c r="E35" s="105"/>
      <c r="F35" s="111"/>
      <c r="G35" s="111"/>
      <c r="H35" s="111"/>
      <c r="I35" s="111"/>
      <c r="J35" s="101">
        <f t="shared" si="1"/>
        <v>0</v>
      </c>
      <c r="K35" s="105"/>
      <c r="L35" s="111"/>
      <c r="M35" s="105"/>
      <c r="N35" s="105"/>
      <c r="O35" s="106"/>
      <c r="P35" s="104"/>
    </row>
    <row r="36" ht="27.75" customHeight="1">
      <c r="A36" s="110"/>
      <c r="B36" s="111"/>
      <c r="C36" s="111"/>
      <c r="D36" s="111"/>
      <c r="E36" s="105"/>
      <c r="F36" s="111"/>
      <c r="G36" s="111"/>
      <c r="H36" s="111"/>
      <c r="I36" s="111"/>
      <c r="J36" s="101">
        <f t="shared" si="1"/>
        <v>0</v>
      </c>
      <c r="K36" s="105"/>
      <c r="L36" s="111"/>
      <c r="M36" s="105"/>
      <c r="N36" s="105"/>
      <c r="O36" s="106"/>
      <c r="P36" s="104"/>
    </row>
    <row r="37" ht="27.75" customHeight="1">
      <c r="A37" s="110"/>
      <c r="B37" s="111"/>
      <c r="C37" s="111"/>
      <c r="D37" s="111"/>
      <c r="E37" s="105"/>
      <c r="F37" s="111"/>
      <c r="G37" s="111"/>
      <c r="H37" s="111"/>
      <c r="I37" s="111"/>
      <c r="J37" s="101">
        <f t="shared" si="1"/>
        <v>0</v>
      </c>
      <c r="K37" s="105"/>
      <c r="L37" s="111"/>
      <c r="M37" s="105"/>
      <c r="N37" s="105"/>
      <c r="O37" s="106"/>
      <c r="P37" s="104"/>
    </row>
    <row r="38" ht="27.75" customHeight="1">
      <c r="A38" s="110"/>
      <c r="B38" s="111"/>
      <c r="C38" s="111"/>
      <c r="D38" s="111"/>
      <c r="E38" s="105"/>
      <c r="F38" s="111"/>
      <c r="G38" s="111"/>
      <c r="H38" s="111"/>
      <c r="I38" s="111"/>
      <c r="J38" s="101">
        <f t="shared" si="1"/>
        <v>0</v>
      </c>
      <c r="K38" s="105"/>
      <c r="L38" s="111"/>
      <c r="M38" s="105"/>
      <c r="N38" s="105"/>
      <c r="O38" s="106"/>
      <c r="P38" s="104"/>
    </row>
    <row r="39" ht="27.75" customHeight="1">
      <c r="A39" s="110"/>
      <c r="B39" s="111"/>
      <c r="C39" s="111"/>
      <c r="D39" s="111"/>
      <c r="E39" s="105"/>
      <c r="F39" s="111"/>
      <c r="G39" s="111"/>
      <c r="H39" s="111"/>
      <c r="I39" s="111"/>
      <c r="J39" s="101">
        <f t="shared" si="1"/>
        <v>0</v>
      </c>
      <c r="K39" s="105"/>
      <c r="L39" s="111"/>
      <c r="M39" s="105"/>
      <c r="N39" s="105"/>
      <c r="O39" s="106"/>
      <c r="P39" s="104"/>
    </row>
    <row r="40" ht="27.75" customHeight="1">
      <c r="A40" s="110"/>
      <c r="B40" s="111"/>
      <c r="C40" s="111"/>
      <c r="D40" s="111"/>
      <c r="E40" s="105"/>
      <c r="F40" s="111"/>
      <c r="G40" s="111"/>
      <c r="H40" s="111"/>
      <c r="I40" s="111"/>
      <c r="J40" s="101">
        <f t="shared" si="1"/>
        <v>0</v>
      </c>
      <c r="K40" s="105"/>
      <c r="L40" s="111"/>
      <c r="M40" s="105"/>
      <c r="N40" s="105"/>
      <c r="O40" s="106"/>
      <c r="P40" s="104"/>
    </row>
    <row r="41" ht="27.75" customHeight="1">
      <c r="A41" s="110"/>
      <c r="B41" s="111"/>
      <c r="C41" s="111"/>
      <c r="D41" s="111"/>
      <c r="E41" s="105"/>
      <c r="F41" s="111"/>
      <c r="G41" s="111"/>
      <c r="H41" s="111"/>
      <c r="I41" s="111"/>
      <c r="J41" s="101">
        <f t="shared" si="1"/>
        <v>0</v>
      </c>
      <c r="K41" s="105"/>
      <c r="L41" s="111"/>
      <c r="M41" s="105"/>
      <c r="N41" s="105"/>
      <c r="O41" s="106"/>
      <c r="P41" s="104"/>
    </row>
    <row r="42" ht="27.75" customHeight="1">
      <c r="A42" s="110"/>
      <c r="B42" s="111"/>
      <c r="C42" s="111"/>
      <c r="D42" s="111"/>
      <c r="E42" s="105"/>
      <c r="F42" s="111"/>
      <c r="G42" s="111"/>
      <c r="H42" s="111"/>
      <c r="I42" s="111"/>
      <c r="J42" s="101">
        <f t="shared" si="1"/>
        <v>0</v>
      </c>
      <c r="K42" s="105"/>
      <c r="L42" s="111"/>
      <c r="M42" s="105"/>
      <c r="N42" s="105"/>
      <c r="O42" s="106"/>
      <c r="P42" s="104"/>
    </row>
    <row r="43" ht="27.75" customHeight="1">
      <c r="A43" s="110"/>
      <c r="B43" s="111"/>
      <c r="C43" s="111"/>
      <c r="D43" s="111"/>
      <c r="E43" s="105"/>
      <c r="F43" s="111"/>
      <c r="G43" s="111"/>
      <c r="H43" s="111"/>
      <c r="I43" s="111"/>
      <c r="J43" s="101">
        <f t="shared" si="1"/>
        <v>0</v>
      </c>
      <c r="K43" s="105"/>
      <c r="L43" s="111"/>
      <c r="M43" s="105"/>
      <c r="N43" s="105"/>
      <c r="O43" s="106"/>
      <c r="P43" s="104"/>
    </row>
    <row r="44" ht="27.75" customHeight="1">
      <c r="A44" s="110"/>
      <c r="B44" s="111"/>
      <c r="C44" s="111"/>
      <c r="D44" s="111"/>
      <c r="E44" s="105"/>
      <c r="F44" s="111"/>
      <c r="G44" s="111"/>
      <c r="H44" s="111"/>
      <c r="I44" s="111"/>
      <c r="J44" s="101">
        <f t="shared" si="1"/>
        <v>0</v>
      </c>
      <c r="K44" s="105"/>
      <c r="L44" s="111"/>
      <c r="M44" s="105"/>
      <c r="N44" s="105"/>
      <c r="O44" s="106"/>
      <c r="P44" s="104"/>
    </row>
    <row r="45" ht="27.75" customHeight="1">
      <c r="A45" s="110"/>
      <c r="B45" s="111"/>
      <c r="C45" s="111"/>
      <c r="D45" s="111"/>
      <c r="E45" s="105"/>
      <c r="F45" s="111"/>
      <c r="G45" s="111"/>
      <c r="H45" s="111"/>
      <c r="I45" s="111"/>
      <c r="J45" s="101">
        <f t="shared" si="1"/>
        <v>0</v>
      </c>
      <c r="K45" s="105"/>
      <c r="L45" s="111"/>
      <c r="M45" s="105"/>
      <c r="N45" s="105"/>
      <c r="O45" s="106"/>
      <c r="P45" s="104"/>
    </row>
    <row r="46" ht="27.75" customHeight="1">
      <c r="A46" s="110"/>
      <c r="B46" s="111"/>
      <c r="C46" s="111"/>
      <c r="D46" s="111"/>
      <c r="E46" s="105"/>
      <c r="F46" s="111"/>
      <c r="G46" s="111"/>
      <c r="H46" s="111"/>
      <c r="I46" s="111"/>
      <c r="J46" s="101">
        <f t="shared" si="1"/>
        <v>0</v>
      </c>
      <c r="K46" s="105"/>
      <c r="L46" s="111"/>
      <c r="M46" s="105"/>
      <c r="N46" s="105"/>
      <c r="O46" s="106"/>
      <c r="P46" s="104"/>
    </row>
    <row r="47" ht="27.75" customHeight="1">
      <c r="A47" s="110"/>
      <c r="B47" s="111"/>
      <c r="C47" s="111"/>
      <c r="D47" s="111"/>
      <c r="E47" s="105"/>
      <c r="F47" s="111"/>
      <c r="G47" s="111"/>
      <c r="H47" s="111"/>
      <c r="I47" s="111"/>
      <c r="J47" s="101">
        <f t="shared" si="1"/>
        <v>0</v>
      </c>
      <c r="K47" s="105"/>
      <c r="L47" s="111"/>
      <c r="M47" s="105"/>
      <c r="N47" s="105"/>
      <c r="O47" s="106"/>
      <c r="P47" s="104"/>
    </row>
    <row r="48" ht="27.75" customHeight="1">
      <c r="A48" s="110"/>
      <c r="B48" s="111"/>
      <c r="C48" s="111"/>
      <c r="D48" s="111"/>
      <c r="E48" s="105"/>
      <c r="F48" s="111"/>
      <c r="G48" s="111"/>
      <c r="H48" s="111"/>
      <c r="I48" s="111"/>
      <c r="J48" s="101">
        <f t="shared" si="1"/>
        <v>0</v>
      </c>
      <c r="K48" s="105"/>
      <c r="L48" s="111"/>
      <c r="M48" s="105"/>
      <c r="N48" s="105"/>
      <c r="O48" s="106"/>
      <c r="P48" s="104"/>
    </row>
    <row r="49" ht="27.75" customHeight="1">
      <c r="A49" s="110"/>
      <c r="B49" s="111"/>
      <c r="C49" s="111"/>
      <c r="D49" s="111"/>
      <c r="E49" s="105"/>
      <c r="F49" s="111"/>
      <c r="G49" s="111"/>
      <c r="H49" s="111"/>
      <c r="I49" s="111"/>
      <c r="J49" s="101">
        <f t="shared" si="1"/>
        <v>0</v>
      </c>
      <c r="K49" s="105"/>
      <c r="L49" s="111"/>
      <c r="M49" s="105"/>
      <c r="N49" s="105"/>
      <c r="O49" s="106"/>
      <c r="P49" s="104"/>
    </row>
    <row r="50" ht="27.75" customHeight="1">
      <c r="A50" s="110"/>
      <c r="B50" s="111"/>
      <c r="C50" s="111"/>
      <c r="D50" s="111"/>
      <c r="E50" s="105"/>
      <c r="F50" s="111"/>
      <c r="G50" s="111"/>
      <c r="H50" s="111"/>
      <c r="I50" s="111"/>
      <c r="J50" s="101">
        <f t="shared" si="1"/>
        <v>0</v>
      </c>
      <c r="K50" s="105"/>
      <c r="L50" s="111"/>
      <c r="M50" s="105"/>
      <c r="N50" s="105"/>
      <c r="O50" s="106"/>
      <c r="P50" s="104"/>
    </row>
    <row r="51" ht="27.75" customHeight="1">
      <c r="A51" s="110"/>
      <c r="B51" s="111"/>
      <c r="C51" s="111"/>
      <c r="D51" s="111"/>
      <c r="E51" s="105"/>
      <c r="F51" s="111"/>
      <c r="G51" s="111"/>
      <c r="H51" s="111"/>
      <c r="I51" s="111"/>
      <c r="J51" s="101">
        <f t="shared" si="1"/>
        <v>0</v>
      </c>
      <c r="K51" s="105"/>
      <c r="L51" s="111"/>
      <c r="M51" s="105"/>
      <c r="N51" s="105"/>
      <c r="O51" s="106"/>
      <c r="P51" s="104"/>
    </row>
    <row r="52" ht="27.75" customHeight="1">
      <c r="A52" s="110"/>
      <c r="B52" s="111"/>
      <c r="C52" s="111"/>
      <c r="D52" s="111"/>
      <c r="E52" s="105"/>
      <c r="F52" s="111"/>
      <c r="G52" s="111"/>
      <c r="H52" s="111"/>
      <c r="I52" s="111"/>
      <c r="J52" s="101">
        <f t="shared" si="1"/>
        <v>0</v>
      </c>
      <c r="K52" s="105"/>
      <c r="L52" s="111"/>
      <c r="M52" s="105"/>
      <c r="N52" s="105"/>
      <c r="O52" s="106"/>
      <c r="P52" s="104"/>
    </row>
    <row r="53" ht="27.75" customHeight="1">
      <c r="A53" s="110"/>
      <c r="B53" s="111"/>
      <c r="C53" s="111"/>
      <c r="D53" s="111"/>
      <c r="E53" s="105"/>
      <c r="F53" s="111"/>
      <c r="G53" s="111"/>
      <c r="H53" s="111"/>
      <c r="I53" s="111"/>
      <c r="J53" s="101">
        <f t="shared" si="1"/>
        <v>0</v>
      </c>
      <c r="K53" s="105"/>
      <c r="L53" s="111"/>
      <c r="M53" s="105"/>
      <c r="N53" s="105"/>
      <c r="O53" s="106"/>
      <c r="P53" s="104"/>
    </row>
    <row r="54" ht="27.75" customHeight="1">
      <c r="A54" s="110"/>
      <c r="B54" s="111"/>
      <c r="C54" s="111"/>
      <c r="D54" s="111"/>
      <c r="E54" s="105"/>
      <c r="F54" s="111"/>
      <c r="G54" s="111"/>
      <c r="H54" s="111"/>
      <c r="I54" s="111"/>
      <c r="J54" s="101">
        <f t="shared" si="1"/>
        <v>0</v>
      </c>
      <c r="K54" s="105"/>
      <c r="L54" s="111"/>
      <c r="M54" s="105"/>
      <c r="N54" s="105"/>
      <c r="O54" s="106"/>
      <c r="P54" s="104"/>
    </row>
    <row r="55" ht="27.75" customHeight="1">
      <c r="A55" s="110"/>
      <c r="B55" s="111"/>
      <c r="C55" s="111"/>
      <c r="D55" s="111"/>
      <c r="E55" s="105"/>
      <c r="F55" s="111"/>
      <c r="G55" s="111"/>
      <c r="H55" s="111"/>
      <c r="I55" s="111"/>
      <c r="J55" s="101">
        <f t="shared" si="1"/>
        <v>0</v>
      </c>
      <c r="K55" s="105"/>
      <c r="L55" s="111"/>
      <c r="M55" s="105"/>
      <c r="N55" s="105"/>
      <c r="O55" s="106"/>
      <c r="P55" s="104"/>
    </row>
    <row r="56" ht="27.75" customHeight="1">
      <c r="A56" s="110"/>
      <c r="B56" s="111"/>
      <c r="C56" s="111"/>
      <c r="D56" s="111"/>
      <c r="E56" s="105"/>
      <c r="F56" s="111"/>
      <c r="G56" s="111"/>
      <c r="H56" s="111"/>
      <c r="I56" s="111"/>
      <c r="J56" s="101">
        <f t="shared" si="1"/>
        <v>0</v>
      </c>
      <c r="K56" s="105"/>
      <c r="L56" s="111"/>
      <c r="M56" s="105"/>
      <c r="N56" s="105"/>
      <c r="O56" s="106"/>
      <c r="P56" s="104"/>
    </row>
    <row r="57" ht="27.75" customHeight="1">
      <c r="A57" s="110"/>
      <c r="B57" s="111"/>
      <c r="C57" s="111"/>
      <c r="D57" s="111"/>
      <c r="E57" s="105"/>
      <c r="F57" s="111"/>
      <c r="G57" s="111"/>
      <c r="H57" s="111"/>
      <c r="I57" s="111"/>
      <c r="J57" s="101">
        <f t="shared" si="1"/>
        <v>0</v>
      </c>
      <c r="K57" s="105"/>
      <c r="L57" s="111"/>
      <c r="M57" s="105"/>
      <c r="N57" s="105"/>
      <c r="O57" s="106"/>
      <c r="P57" s="104"/>
    </row>
    <row r="58" ht="27.75" customHeight="1">
      <c r="A58" s="110"/>
      <c r="B58" s="111"/>
      <c r="C58" s="111"/>
      <c r="D58" s="111"/>
      <c r="E58" s="105"/>
      <c r="F58" s="111"/>
      <c r="G58" s="111"/>
      <c r="H58" s="111"/>
      <c r="I58" s="111"/>
      <c r="J58" s="101">
        <f t="shared" si="1"/>
        <v>0</v>
      </c>
      <c r="K58" s="105"/>
      <c r="L58" s="111"/>
      <c r="M58" s="105"/>
      <c r="N58" s="105"/>
      <c r="O58" s="106"/>
      <c r="P58" s="104"/>
    </row>
    <row r="59" ht="27.75" customHeight="1">
      <c r="A59" s="110"/>
      <c r="B59" s="111"/>
      <c r="C59" s="111"/>
      <c r="D59" s="111"/>
      <c r="E59" s="105"/>
      <c r="F59" s="111"/>
      <c r="G59" s="111"/>
      <c r="H59" s="111"/>
      <c r="I59" s="111"/>
      <c r="J59" s="101">
        <f t="shared" si="1"/>
        <v>0</v>
      </c>
      <c r="K59" s="105"/>
      <c r="L59" s="111"/>
      <c r="M59" s="105"/>
      <c r="N59" s="105"/>
      <c r="O59" s="106"/>
      <c r="P59" s="104"/>
    </row>
    <row r="60" ht="27.75" customHeight="1">
      <c r="A60" s="110"/>
      <c r="B60" s="111"/>
      <c r="C60" s="111"/>
      <c r="D60" s="111"/>
      <c r="E60" s="105"/>
      <c r="F60" s="111"/>
      <c r="G60" s="111"/>
      <c r="H60" s="111"/>
      <c r="I60" s="111"/>
      <c r="J60" s="101">
        <f t="shared" si="1"/>
        <v>0</v>
      </c>
      <c r="K60" s="105"/>
      <c r="L60" s="111"/>
      <c r="M60" s="105"/>
      <c r="N60" s="105"/>
      <c r="O60" s="106"/>
      <c r="P60" s="104"/>
    </row>
    <row r="61" ht="27.75" customHeight="1">
      <c r="A61" s="110"/>
      <c r="B61" s="111"/>
      <c r="C61" s="111"/>
      <c r="D61" s="111"/>
      <c r="E61" s="105"/>
      <c r="F61" s="111"/>
      <c r="G61" s="111"/>
      <c r="H61" s="111"/>
      <c r="I61" s="111"/>
      <c r="J61" s="101">
        <f t="shared" si="1"/>
        <v>0</v>
      </c>
      <c r="K61" s="105"/>
      <c r="L61" s="111"/>
      <c r="M61" s="105"/>
      <c r="N61" s="105"/>
      <c r="O61" s="106"/>
      <c r="P61" s="104"/>
    </row>
    <row r="62" ht="27.75" customHeight="1">
      <c r="A62" s="110"/>
      <c r="B62" s="111"/>
      <c r="C62" s="111"/>
      <c r="D62" s="111"/>
      <c r="E62" s="105"/>
      <c r="F62" s="111"/>
      <c r="G62" s="111"/>
      <c r="H62" s="111"/>
      <c r="I62" s="111"/>
      <c r="J62" s="101">
        <f t="shared" si="1"/>
        <v>0</v>
      </c>
      <c r="K62" s="105"/>
      <c r="L62" s="111"/>
      <c r="M62" s="105"/>
      <c r="N62" s="105"/>
      <c r="O62" s="106"/>
      <c r="P62" s="104"/>
    </row>
    <row r="63" ht="27.75" customHeight="1">
      <c r="A63" s="110"/>
      <c r="B63" s="111"/>
      <c r="C63" s="111"/>
      <c r="D63" s="111"/>
      <c r="E63" s="105"/>
      <c r="F63" s="111"/>
      <c r="G63" s="111"/>
      <c r="H63" s="111"/>
      <c r="I63" s="111"/>
      <c r="J63" s="101">
        <f t="shared" si="1"/>
        <v>0</v>
      </c>
      <c r="K63" s="105"/>
      <c r="L63" s="111"/>
      <c r="M63" s="105"/>
      <c r="N63" s="105"/>
      <c r="O63" s="106"/>
      <c r="P63" s="104"/>
    </row>
    <row r="64" ht="27.75" customHeight="1">
      <c r="A64" s="110"/>
      <c r="B64" s="111"/>
      <c r="C64" s="111"/>
      <c r="D64" s="111"/>
      <c r="E64" s="105"/>
      <c r="F64" s="111"/>
      <c r="G64" s="111"/>
      <c r="H64" s="111"/>
      <c r="I64" s="111"/>
      <c r="J64" s="101">
        <f t="shared" si="1"/>
        <v>0</v>
      </c>
      <c r="K64" s="105"/>
      <c r="L64" s="111"/>
      <c r="M64" s="105"/>
      <c r="N64" s="105"/>
      <c r="O64" s="106"/>
      <c r="P64" s="104"/>
    </row>
    <row r="65" ht="27.75" customHeight="1">
      <c r="A65" s="110"/>
      <c r="B65" s="111"/>
      <c r="C65" s="111"/>
      <c r="D65" s="111"/>
      <c r="E65" s="105"/>
      <c r="F65" s="111"/>
      <c r="G65" s="111"/>
      <c r="H65" s="111"/>
      <c r="I65" s="111"/>
      <c r="J65" s="101">
        <f t="shared" si="1"/>
        <v>0</v>
      </c>
      <c r="K65" s="105"/>
      <c r="L65" s="111"/>
      <c r="M65" s="105"/>
      <c r="N65" s="105"/>
      <c r="O65" s="106"/>
      <c r="P65" s="104"/>
    </row>
    <row r="66" ht="27.75" customHeight="1">
      <c r="A66" s="110"/>
      <c r="B66" s="111"/>
      <c r="C66" s="111"/>
      <c r="D66" s="111"/>
      <c r="E66" s="105"/>
      <c r="F66" s="111"/>
      <c r="G66" s="111"/>
      <c r="H66" s="111"/>
      <c r="I66" s="111"/>
      <c r="J66" s="101">
        <f t="shared" si="1"/>
        <v>0</v>
      </c>
      <c r="K66" s="105"/>
      <c r="L66" s="111"/>
      <c r="M66" s="105"/>
      <c r="N66" s="105"/>
      <c r="O66" s="106"/>
      <c r="P66" s="104"/>
    </row>
    <row r="67" ht="27.75" customHeight="1">
      <c r="A67" s="110"/>
      <c r="B67" s="111"/>
      <c r="C67" s="111"/>
      <c r="D67" s="111"/>
      <c r="E67" s="105"/>
      <c r="F67" s="111"/>
      <c r="G67" s="111"/>
      <c r="H67" s="111"/>
      <c r="I67" s="111"/>
      <c r="J67" s="101">
        <f t="shared" si="1"/>
        <v>0</v>
      </c>
      <c r="K67" s="105"/>
      <c r="L67" s="111"/>
      <c r="M67" s="105"/>
      <c r="N67" s="105"/>
      <c r="O67" s="106"/>
      <c r="P67" s="104"/>
    </row>
    <row r="68" ht="27.75" customHeight="1">
      <c r="A68" s="110"/>
      <c r="B68" s="111"/>
      <c r="C68" s="111"/>
      <c r="D68" s="111"/>
      <c r="E68" s="105"/>
      <c r="F68" s="111"/>
      <c r="G68" s="111"/>
      <c r="H68" s="111"/>
      <c r="I68" s="111"/>
      <c r="J68" s="101">
        <f t="shared" si="1"/>
        <v>0</v>
      </c>
      <c r="K68" s="105"/>
      <c r="L68" s="111"/>
      <c r="M68" s="105"/>
      <c r="N68" s="105"/>
      <c r="O68" s="106"/>
      <c r="P68" s="104"/>
    </row>
    <row r="69" ht="27.75" customHeight="1">
      <c r="A69" s="110"/>
      <c r="B69" s="111"/>
      <c r="C69" s="111"/>
      <c r="D69" s="111"/>
      <c r="E69" s="105"/>
      <c r="F69" s="111"/>
      <c r="G69" s="111"/>
      <c r="H69" s="111"/>
      <c r="I69" s="111"/>
      <c r="J69" s="101">
        <f t="shared" si="1"/>
        <v>0</v>
      </c>
      <c r="K69" s="105"/>
      <c r="L69" s="111"/>
      <c r="M69" s="105"/>
      <c r="N69" s="105"/>
      <c r="O69" s="106"/>
      <c r="P69" s="104"/>
    </row>
    <row r="70" ht="27.75" customHeight="1">
      <c r="A70" s="110"/>
      <c r="B70" s="111"/>
      <c r="C70" s="111"/>
      <c r="D70" s="111"/>
      <c r="E70" s="105"/>
      <c r="F70" s="111"/>
      <c r="G70" s="111"/>
      <c r="H70" s="111"/>
      <c r="I70" s="111"/>
      <c r="J70" s="101">
        <f t="shared" si="1"/>
        <v>0</v>
      </c>
      <c r="K70" s="105"/>
      <c r="L70" s="111"/>
      <c r="M70" s="105"/>
      <c r="N70" s="105"/>
      <c r="O70" s="106"/>
      <c r="P70" s="104"/>
    </row>
    <row r="71" ht="27.75" customHeight="1">
      <c r="A71" s="110"/>
      <c r="B71" s="111"/>
      <c r="C71" s="111"/>
      <c r="D71" s="111"/>
      <c r="E71" s="105"/>
      <c r="F71" s="111"/>
      <c r="G71" s="111"/>
      <c r="H71" s="111"/>
      <c r="I71" s="111"/>
      <c r="J71" s="101">
        <f t="shared" si="1"/>
        <v>0</v>
      </c>
      <c r="K71" s="105"/>
      <c r="L71" s="111"/>
      <c r="M71" s="105"/>
      <c r="N71" s="105"/>
      <c r="O71" s="106"/>
      <c r="P71" s="104"/>
    </row>
    <row r="72" ht="27.75" customHeight="1">
      <c r="A72" s="110"/>
      <c r="B72" s="111"/>
      <c r="C72" s="111"/>
      <c r="D72" s="111"/>
      <c r="E72" s="105"/>
      <c r="F72" s="111"/>
      <c r="G72" s="111"/>
      <c r="H72" s="111"/>
      <c r="I72" s="111"/>
      <c r="J72" s="101">
        <f t="shared" si="1"/>
        <v>0</v>
      </c>
      <c r="K72" s="105"/>
      <c r="L72" s="111"/>
      <c r="M72" s="105"/>
      <c r="N72" s="105"/>
      <c r="O72" s="106"/>
      <c r="P72" s="104"/>
    </row>
    <row r="73" ht="27.75" customHeight="1">
      <c r="A73" s="110"/>
      <c r="B73" s="111"/>
      <c r="C73" s="111"/>
      <c r="D73" s="111"/>
      <c r="E73" s="105"/>
      <c r="F73" s="111"/>
      <c r="G73" s="111"/>
      <c r="H73" s="111"/>
      <c r="I73" s="111"/>
      <c r="J73" s="101">
        <f t="shared" si="1"/>
        <v>0</v>
      </c>
      <c r="K73" s="105"/>
      <c r="L73" s="111"/>
      <c r="M73" s="105"/>
      <c r="N73" s="105"/>
      <c r="O73" s="106"/>
      <c r="P73" s="104"/>
    </row>
    <row r="74" ht="27.75" customHeight="1">
      <c r="A74" s="110"/>
      <c r="B74" s="111"/>
      <c r="C74" s="111"/>
      <c r="D74" s="111"/>
      <c r="E74" s="105"/>
      <c r="F74" s="111"/>
      <c r="G74" s="111"/>
      <c r="H74" s="111"/>
      <c r="I74" s="111"/>
      <c r="J74" s="101">
        <f t="shared" si="1"/>
        <v>0</v>
      </c>
      <c r="K74" s="105"/>
      <c r="L74" s="111"/>
      <c r="M74" s="105"/>
      <c r="N74" s="105"/>
      <c r="O74" s="106"/>
      <c r="P74" s="104"/>
    </row>
    <row r="75" ht="27.75" customHeight="1">
      <c r="A75" s="110"/>
      <c r="B75" s="111"/>
      <c r="C75" s="111"/>
      <c r="D75" s="111"/>
      <c r="E75" s="105"/>
      <c r="F75" s="111"/>
      <c r="G75" s="111"/>
      <c r="H75" s="111"/>
      <c r="I75" s="111"/>
      <c r="J75" s="101">
        <f t="shared" si="1"/>
        <v>0</v>
      </c>
      <c r="K75" s="105"/>
      <c r="L75" s="111"/>
      <c r="M75" s="105"/>
      <c r="N75" s="105"/>
      <c r="O75" s="106"/>
      <c r="P75" s="104"/>
    </row>
    <row r="76" ht="27.75" customHeight="1">
      <c r="A76" s="110"/>
      <c r="B76" s="111"/>
      <c r="C76" s="111"/>
      <c r="D76" s="111"/>
      <c r="E76" s="105"/>
      <c r="F76" s="111"/>
      <c r="G76" s="111"/>
      <c r="H76" s="111"/>
      <c r="I76" s="111"/>
      <c r="J76" s="101">
        <f t="shared" si="1"/>
        <v>0</v>
      </c>
      <c r="K76" s="105"/>
      <c r="L76" s="111"/>
      <c r="M76" s="105"/>
      <c r="N76" s="105"/>
      <c r="O76" s="106"/>
      <c r="P76" s="104"/>
    </row>
    <row r="77" ht="27.75" customHeight="1">
      <c r="A77" s="110"/>
      <c r="B77" s="111"/>
      <c r="C77" s="111"/>
      <c r="D77" s="111"/>
      <c r="E77" s="105"/>
      <c r="F77" s="111"/>
      <c r="G77" s="111"/>
      <c r="H77" s="111"/>
      <c r="I77" s="111"/>
      <c r="J77" s="101">
        <f t="shared" si="1"/>
        <v>0</v>
      </c>
      <c r="K77" s="105"/>
      <c r="L77" s="111"/>
      <c r="M77" s="105"/>
      <c r="N77" s="105"/>
      <c r="O77" s="106"/>
      <c r="P77" s="104"/>
    </row>
    <row r="78" ht="27.75" customHeight="1">
      <c r="A78" s="110"/>
      <c r="B78" s="111"/>
      <c r="C78" s="111"/>
      <c r="D78" s="111"/>
      <c r="E78" s="105"/>
      <c r="F78" s="111"/>
      <c r="G78" s="111"/>
      <c r="H78" s="111"/>
      <c r="I78" s="111"/>
      <c r="J78" s="101">
        <f t="shared" si="1"/>
        <v>0</v>
      </c>
      <c r="K78" s="105"/>
      <c r="L78" s="111"/>
      <c r="M78" s="105"/>
      <c r="N78" s="105"/>
      <c r="O78" s="106"/>
      <c r="P78" s="104"/>
    </row>
    <row r="79" ht="27.75" customHeight="1">
      <c r="A79" s="110"/>
      <c r="B79" s="111"/>
      <c r="C79" s="111"/>
      <c r="D79" s="111"/>
      <c r="E79" s="105"/>
      <c r="F79" s="111"/>
      <c r="G79" s="111"/>
      <c r="H79" s="111"/>
      <c r="I79" s="111"/>
      <c r="J79" s="101">
        <f t="shared" si="1"/>
        <v>0</v>
      </c>
      <c r="K79" s="105"/>
      <c r="L79" s="111"/>
      <c r="M79" s="105"/>
      <c r="N79" s="105"/>
      <c r="O79" s="106"/>
      <c r="P79" s="104"/>
    </row>
    <row r="80" ht="27.75" customHeight="1">
      <c r="A80" s="110"/>
      <c r="B80" s="111"/>
      <c r="C80" s="111"/>
      <c r="D80" s="111"/>
      <c r="E80" s="105"/>
      <c r="F80" s="111"/>
      <c r="G80" s="111"/>
      <c r="H80" s="111"/>
      <c r="I80" s="111"/>
      <c r="J80" s="101">
        <f t="shared" si="1"/>
        <v>0</v>
      </c>
      <c r="K80" s="105"/>
      <c r="L80" s="111"/>
      <c r="M80" s="105"/>
      <c r="N80" s="105"/>
      <c r="O80" s="106"/>
      <c r="P80" s="104"/>
    </row>
    <row r="81" ht="27.75" customHeight="1">
      <c r="A81" s="110"/>
      <c r="B81" s="111"/>
      <c r="C81" s="111"/>
      <c r="D81" s="111"/>
      <c r="E81" s="105"/>
      <c r="F81" s="111"/>
      <c r="G81" s="111"/>
      <c r="H81" s="111"/>
      <c r="I81" s="111"/>
      <c r="J81" s="101">
        <f t="shared" si="1"/>
        <v>0</v>
      </c>
      <c r="K81" s="105"/>
      <c r="L81" s="111"/>
      <c r="M81" s="105"/>
      <c r="N81" s="105"/>
      <c r="O81" s="106"/>
      <c r="P81" s="104"/>
    </row>
    <row r="82" ht="27.75" customHeight="1">
      <c r="A82" s="110"/>
      <c r="B82" s="111"/>
      <c r="C82" s="111"/>
      <c r="D82" s="111"/>
      <c r="E82" s="105"/>
      <c r="F82" s="111"/>
      <c r="G82" s="111"/>
      <c r="H82" s="111"/>
      <c r="I82" s="111"/>
      <c r="J82" s="101">
        <f t="shared" si="1"/>
        <v>0</v>
      </c>
      <c r="K82" s="105"/>
      <c r="L82" s="111"/>
      <c r="M82" s="105"/>
      <c r="N82" s="105"/>
      <c r="O82" s="106"/>
      <c r="P82" s="104"/>
    </row>
    <row r="83" ht="27.75" customHeight="1">
      <c r="A83" s="110"/>
      <c r="B83" s="111"/>
      <c r="C83" s="111"/>
      <c r="D83" s="111"/>
      <c r="E83" s="105"/>
      <c r="F83" s="111"/>
      <c r="G83" s="111"/>
      <c r="H83" s="111"/>
      <c r="I83" s="111"/>
      <c r="J83" s="101">
        <f t="shared" si="1"/>
        <v>0</v>
      </c>
      <c r="K83" s="105"/>
      <c r="L83" s="111"/>
      <c r="M83" s="105"/>
      <c r="N83" s="105"/>
      <c r="O83" s="106"/>
      <c r="P83" s="104"/>
    </row>
    <row r="84" ht="27.75" customHeight="1">
      <c r="A84" s="110"/>
      <c r="B84" s="111"/>
      <c r="C84" s="111"/>
      <c r="D84" s="111"/>
      <c r="E84" s="105"/>
      <c r="F84" s="111"/>
      <c r="G84" s="111"/>
      <c r="H84" s="111"/>
      <c r="I84" s="111"/>
      <c r="J84" s="101">
        <f t="shared" si="1"/>
        <v>0</v>
      </c>
      <c r="K84" s="105"/>
      <c r="L84" s="111"/>
      <c r="M84" s="105"/>
      <c r="N84" s="105"/>
      <c r="O84" s="106"/>
      <c r="P84" s="104"/>
    </row>
    <row r="85" ht="27.75" customHeight="1">
      <c r="A85" s="110"/>
      <c r="B85" s="111"/>
      <c r="C85" s="111"/>
      <c r="D85" s="111"/>
      <c r="E85" s="105"/>
      <c r="F85" s="111"/>
      <c r="G85" s="111"/>
      <c r="H85" s="111"/>
      <c r="I85" s="111"/>
      <c r="J85" s="101">
        <f t="shared" si="1"/>
        <v>0</v>
      </c>
      <c r="K85" s="105"/>
      <c r="L85" s="111"/>
      <c r="M85" s="105"/>
      <c r="N85" s="105"/>
      <c r="O85" s="106"/>
      <c r="P85" s="104"/>
    </row>
    <row r="86" ht="27.75" customHeight="1">
      <c r="A86" s="110"/>
      <c r="B86" s="111"/>
      <c r="C86" s="111"/>
      <c r="D86" s="111"/>
      <c r="E86" s="105"/>
      <c r="F86" s="111"/>
      <c r="G86" s="111"/>
      <c r="H86" s="111"/>
      <c r="I86" s="111"/>
      <c r="J86" s="101">
        <f t="shared" si="1"/>
        <v>0</v>
      </c>
      <c r="K86" s="105"/>
      <c r="L86" s="111"/>
      <c r="M86" s="105"/>
      <c r="N86" s="105"/>
      <c r="O86" s="106"/>
      <c r="P86" s="104"/>
    </row>
    <row r="87" ht="27.75" customHeight="1">
      <c r="A87" s="110"/>
      <c r="B87" s="111"/>
      <c r="C87" s="111"/>
      <c r="D87" s="111"/>
      <c r="E87" s="105"/>
      <c r="F87" s="111"/>
      <c r="G87" s="111"/>
      <c r="H87" s="111"/>
      <c r="I87" s="111"/>
      <c r="J87" s="101">
        <f t="shared" si="1"/>
        <v>0</v>
      </c>
      <c r="K87" s="105"/>
      <c r="L87" s="111"/>
      <c r="M87" s="105"/>
      <c r="N87" s="105"/>
      <c r="O87" s="106"/>
      <c r="P87" s="104"/>
    </row>
    <row r="88" ht="27.75" customHeight="1">
      <c r="A88" s="110"/>
      <c r="B88" s="111"/>
      <c r="C88" s="111"/>
      <c r="D88" s="111"/>
      <c r="E88" s="105"/>
      <c r="F88" s="111"/>
      <c r="G88" s="111"/>
      <c r="H88" s="111"/>
      <c r="I88" s="111"/>
      <c r="J88" s="101">
        <f t="shared" si="1"/>
        <v>0</v>
      </c>
      <c r="K88" s="105"/>
      <c r="L88" s="111"/>
      <c r="M88" s="105"/>
      <c r="N88" s="105"/>
      <c r="O88" s="106"/>
      <c r="P88" s="104"/>
    </row>
    <row r="89" ht="27.75" customHeight="1">
      <c r="A89" s="110"/>
      <c r="B89" s="111"/>
      <c r="C89" s="111"/>
      <c r="D89" s="111"/>
      <c r="E89" s="105"/>
      <c r="F89" s="111"/>
      <c r="G89" s="111"/>
      <c r="H89" s="111"/>
      <c r="I89" s="111"/>
      <c r="J89" s="101">
        <f t="shared" si="1"/>
        <v>0</v>
      </c>
      <c r="K89" s="105"/>
      <c r="L89" s="111"/>
      <c r="M89" s="105"/>
      <c r="N89" s="105"/>
      <c r="O89" s="106"/>
      <c r="P89" s="104"/>
    </row>
    <row r="90" ht="27.75" customHeight="1">
      <c r="A90" s="110"/>
      <c r="B90" s="111"/>
      <c r="C90" s="111"/>
      <c r="D90" s="111"/>
      <c r="E90" s="105"/>
      <c r="F90" s="111"/>
      <c r="G90" s="111"/>
      <c r="H90" s="111"/>
      <c r="I90" s="111"/>
      <c r="J90" s="101">
        <f t="shared" si="1"/>
        <v>0</v>
      </c>
      <c r="K90" s="105"/>
      <c r="L90" s="111"/>
      <c r="M90" s="105"/>
      <c r="N90" s="105"/>
      <c r="O90" s="106"/>
      <c r="P90" s="104"/>
    </row>
    <row r="91" ht="27.75" customHeight="1">
      <c r="A91" s="110"/>
      <c r="B91" s="111"/>
      <c r="C91" s="111"/>
      <c r="D91" s="111"/>
      <c r="E91" s="105"/>
      <c r="F91" s="111"/>
      <c r="G91" s="111"/>
      <c r="H91" s="111"/>
      <c r="I91" s="111"/>
      <c r="J91" s="101">
        <f t="shared" si="1"/>
        <v>0</v>
      </c>
      <c r="K91" s="105"/>
      <c r="L91" s="111"/>
      <c r="M91" s="105"/>
      <c r="N91" s="105"/>
      <c r="O91" s="106"/>
      <c r="P91" s="104"/>
    </row>
    <row r="92" ht="27.75" customHeight="1">
      <c r="A92" s="110"/>
      <c r="B92" s="111"/>
      <c r="C92" s="111"/>
      <c r="D92" s="111"/>
      <c r="E92" s="105"/>
      <c r="F92" s="111"/>
      <c r="G92" s="111"/>
      <c r="H92" s="111"/>
      <c r="I92" s="111"/>
      <c r="J92" s="101">
        <f t="shared" si="1"/>
        <v>0</v>
      </c>
      <c r="K92" s="105"/>
      <c r="L92" s="111"/>
      <c r="M92" s="105"/>
      <c r="N92" s="105"/>
      <c r="O92" s="106"/>
      <c r="P92" s="104"/>
    </row>
    <row r="93" ht="27.75" customHeight="1">
      <c r="A93" s="110"/>
      <c r="B93" s="111"/>
      <c r="C93" s="111"/>
      <c r="D93" s="111"/>
      <c r="E93" s="105"/>
      <c r="F93" s="111"/>
      <c r="G93" s="111"/>
      <c r="H93" s="111"/>
      <c r="I93" s="111"/>
      <c r="J93" s="101">
        <f t="shared" si="1"/>
        <v>0</v>
      </c>
      <c r="K93" s="105"/>
      <c r="L93" s="111"/>
      <c r="M93" s="105"/>
      <c r="N93" s="105"/>
      <c r="O93" s="106"/>
      <c r="P93" s="104"/>
    </row>
    <row r="94" ht="27.75" customHeight="1">
      <c r="A94" s="110"/>
      <c r="B94" s="111"/>
      <c r="C94" s="111"/>
      <c r="D94" s="111"/>
      <c r="E94" s="105"/>
      <c r="F94" s="111"/>
      <c r="G94" s="111"/>
      <c r="H94" s="111"/>
      <c r="I94" s="111"/>
      <c r="J94" s="101">
        <f t="shared" si="1"/>
        <v>0</v>
      </c>
      <c r="K94" s="105"/>
      <c r="L94" s="111"/>
      <c r="M94" s="105"/>
      <c r="N94" s="105"/>
      <c r="O94" s="106"/>
      <c r="P94" s="104"/>
    </row>
    <row r="95" ht="27.75" customHeight="1">
      <c r="A95" s="110"/>
      <c r="B95" s="111"/>
      <c r="C95" s="111"/>
      <c r="D95" s="111"/>
      <c r="E95" s="105"/>
      <c r="F95" s="111"/>
      <c r="G95" s="111"/>
      <c r="H95" s="111"/>
      <c r="I95" s="111"/>
      <c r="J95" s="101">
        <f t="shared" si="1"/>
        <v>0</v>
      </c>
      <c r="K95" s="105"/>
      <c r="L95" s="111"/>
      <c r="M95" s="105"/>
      <c r="N95" s="105"/>
      <c r="O95" s="106"/>
      <c r="P95" s="104"/>
    </row>
    <row r="96" ht="27.75" customHeight="1">
      <c r="A96" s="110"/>
      <c r="B96" s="111"/>
      <c r="C96" s="111"/>
      <c r="D96" s="111"/>
      <c r="E96" s="105"/>
      <c r="F96" s="111"/>
      <c r="G96" s="111"/>
      <c r="H96" s="111"/>
      <c r="I96" s="111"/>
      <c r="J96" s="101">
        <f t="shared" si="1"/>
        <v>0</v>
      </c>
      <c r="K96" s="105"/>
      <c r="L96" s="111"/>
      <c r="M96" s="105"/>
      <c r="N96" s="105"/>
      <c r="O96" s="106"/>
      <c r="P96" s="104"/>
    </row>
    <row r="97" ht="27.75" customHeight="1">
      <c r="A97" s="110"/>
      <c r="B97" s="111"/>
      <c r="C97" s="111"/>
      <c r="D97" s="111"/>
      <c r="E97" s="105"/>
      <c r="F97" s="111"/>
      <c r="G97" s="111"/>
      <c r="H97" s="111"/>
      <c r="I97" s="111"/>
      <c r="J97" s="101">
        <f t="shared" si="1"/>
        <v>0</v>
      </c>
      <c r="K97" s="105"/>
      <c r="L97" s="111"/>
      <c r="M97" s="105"/>
      <c r="N97" s="105"/>
      <c r="O97" s="106"/>
      <c r="P97" s="104"/>
    </row>
    <row r="98" ht="27.75" customHeight="1">
      <c r="A98" s="110"/>
      <c r="B98" s="111"/>
      <c r="C98" s="111"/>
      <c r="D98" s="111"/>
      <c r="E98" s="105"/>
      <c r="F98" s="111"/>
      <c r="G98" s="111"/>
      <c r="H98" s="111"/>
      <c r="I98" s="111"/>
      <c r="J98" s="101">
        <f t="shared" si="1"/>
        <v>0</v>
      </c>
      <c r="K98" s="105"/>
      <c r="L98" s="111"/>
      <c r="M98" s="105"/>
      <c r="N98" s="105"/>
      <c r="O98" s="106"/>
      <c r="P98" s="104"/>
    </row>
    <row r="99" ht="27.75" customHeight="1">
      <c r="A99" s="110"/>
      <c r="B99" s="111"/>
      <c r="C99" s="111"/>
      <c r="D99" s="111"/>
      <c r="E99" s="105"/>
      <c r="F99" s="111"/>
      <c r="G99" s="111"/>
      <c r="H99" s="111"/>
      <c r="I99" s="111"/>
      <c r="J99" s="101">
        <f t="shared" si="1"/>
        <v>0</v>
      </c>
      <c r="K99" s="105"/>
      <c r="L99" s="111"/>
      <c r="M99" s="105"/>
      <c r="N99" s="105"/>
      <c r="O99" s="106"/>
      <c r="P99" s="104"/>
    </row>
    <row r="100" ht="27.75" customHeight="1">
      <c r="A100" s="110"/>
      <c r="B100" s="111"/>
      <c r="C100" s="111"/>
      <c r="D100" s="111"/>
      <c r="E100" s="105"/>
      <c r="F100" s="111"/>
      <c r="G100" s="111"/>
      <c r="H100" s="111"/>
      <c r="I100" s="111"/>
      <c r="J100" s="101">
        <f t="shared" si="1"/>
        <v>0</v>
      </c>
      <c r="K100" s="105"/>
      <c r="L100" s="111"/>
      <c r="M100" s="105"/>
      <c r="N100" s="105"/>
      <c r="O100" s="106"/>
      <c r="P100" s="104"/>
    </row>
    <row r="101" ht="27.75" customHeight="1">
      <c r="A101" s="110"/>
      <c r="B101" s="111"/>
      <c r="C101" s="111"/>
      <c r="D101" s="111"/>
      <c r="E101" s="105"/>
      <c r="F101" s="111"/>
      <c r="G101" s="111"/>
      <c r="H101" s="111"/>
      <c r="I101" s="111"/>
      <c r="J101" s="101">
        <f t="shared" si="1"/>
        <v>0</v>
      </c>
      <c r="K101" s="105"/>
      <c r="L101" s="111"/>
      <c r="M101" s="105"/>
      <c r="N101" s="105"/>
      <c r="O101" s="106"/>
      <c r="P101" s="104"/>
    </row>
    <row r="102" ht="27.75" customHeight="1">
      <c r="A102" s="110"/>
      <c r="B102" s="111"/>
      <c r="C102" s="111"/>
      <c r="D102" s="111"/>
      <c r="E102" s="105"/>
      <c r="F102" s="111"/>
      <c r="G102" s="111"/>
      <c r="H102" s="111"/>
      <c r="I102" s="111"/>
      <c r="J102" s="101">
        <f t="shared" si="1"/>
        <v>0</v>
      </c>
      <c r="K102" s="105"/>
      <c r="L102" s="111"/>
      <c r="M102" s="105"/>
      <c r="N102" s="105"/>
      <c r="O102" s="106"/>
      <c r="P102" s="104"/>
    </row>
    <row r="103" ht="27.75" customHeight="1">
      <c r="A103" s="110"/>
      <c r="B103" s="111"/>
      <c r="C103" s="111"/>
      <c r="D103" s="111"/>
      <c r="E103" s="105"/>
      <c r="F103" s="111"/>
      <c r="G103" s="111"/>
      <c r="H103" s="111"/>
      <c r="I103" s="111"/>
      <c r="J103" s="101">
        <f t="shared" si="1"/>
        <v>0</v>
      </c>
      <c r="K103" s="105"/>
      <c r="L103" s="111"/>
      <c r="M103" s="105"/>
      <c r="N103" s="105"/>
      <c r="O103" s="106"/>
      <c r="P103" s="104"/>
    </row>
    <row r="104" ht="27.75" customHeight="1">
      <c r="A104" s="110"/>
      <c r="B104" s="111"/>
      <c r="C104" s="111"/>
      <c r="D104" s="111"/>
      <c r="E104" s="105"/>
      <c r="F104" s="111"/>
      <c r="G104" s="111"/>
      <c r="H104" s="111"/>
      <c r="I104" s="111"/>
      <c r="J104" s="101">
        <f t="shared" si="1"/>
        <v>0</v>
      </c>
      <c r="K104" s="105"/>
      <c r="L104" s="111"/>
      <c r="M104" s="105"/>
      <c r="N104" s="105"/>
      <c r="O104" s="106"/>
      <c r="P104" s="104"/>
    </row>
    <row r="105" ht="27.75" customHeight="1">
      <c r="A105" s="110"/>
      <c r="B105" s="111"/>
      <c r="C105" s="111"/>
      <c r="D105" s="111"/>
      <c r="E105" s="105"/>
      <c r="F105" s="111"/>
      <c r="G105" s="111"/>
      <c r="H105" s="111"/>
      <c r="I105" s="111"/>
      <c r="J105" s="101">
        <f t="shared" si="1"/>
        <v>0</v>
      </c>
      <c r="K105" s="105"/>
      <c r="L105" s="111"/>
      <c r="M105" s="105"/>
      <c r="N105" s="105"/>
      <c r="O105" s="106"/>
      <c r="P105" s="104"/>
    </row>
    <row r="106" ht="27.75" customHeight="1">
      <c r="A106" s="110"/>
      <c r="B106" s="111"/>
      <c r="C106" s="111"/>
      <c r="D106" s="111"/>
      <c r="E106" s="105"/>
      <c r="F106" s="111"/>
      <c r="G106" s="111"/>
      <c r="H106" s="111"/>
      <c r="I106" s="111"/>
      <c r="J106" s="101">
        <f t="shared" si="1"/>
        <v>0</v>
      </c>
      <c r="K106" s="105"/>
      <c r="L106" s="111"/>
      <c r="M106" s="105"/>
      <c r="N106" s="105"/>
      <c r="O106" s="106"/>
      <c r="P106" s="104"/>
    </row>
    <row r="107" ht="27.75" customHeight="1">
      <c r="A107" s="110"/>
      <c r="B107" s="111"/>
      <c r="C107" s="111"/>
      <c r="D107" s="111"/>
      <c r="E107" s="105"/>
      <c r="F107" s="111"/>
      <c r="G107" s="111"/>
      <c r="H107" s="111"/>
      <c r="I107" s="111"/>
      <c r="J107" s="101">
        <f t="shared" si="1"/>
        <v>0</v>
      </c>
      <c r="K107" s="105"/>
      <c r="L107" s="111"/>
      <c r="M107" s="105"/>
      <c r="N107" s="105"/>
      <c r="O107" s="106"/>
      <c r="P107" s="104"/>
    </row>
    <row r="108" ht="27.75" customHeight="1">
      <c r="A108" s="110"/>
      <c r="B108" s="111"/>
      <c r="C108" s="111"/>
      <c r="D108" s="111"/>
      <c r="E108" s="105"/>
      <c r="F108" s="111"/>
      <c r="G108" s="111"/>
      <c r="H108" s="111"/>
      <c r="I108" s="111"/>
      <c r="J108" s="101">
        <f t="shared" si="1"/>
        <v>0</v>
      </c>
      <c r="K108" s="105"/>
      <c r="L108" s="111"/>
      <c r="M108" s="105"/>
      <c r="N108" s="105"/>
      <c r="O108" s="106"/>
      <c r="P108" s="104"/>
    </row>
    <row r="109" ht="27.75" customHeight="1">
      <c r="A109" s="110"/>
      <c r="B109" s="111"/>
      <c r="C109" s="111"/>
      <c r="D109" s="111"/>
      <c r="E109" s="105"/>
      <c r="F109" s="111"/>
      <c r="G109" s="111"/>
      <c r="H109" s="111"/>
      <c r="I109" s="111"/>
      <c r="J109" s="101">
        <f t="shared" si="1"/>
        <v>0</v>
      </c>
      <c r="K109" s="105"/>
      <c r="L109" s="111"/>
      <c r="M109" s="105"/>
      <c r="N109" s="105"/>
      <c r="O109" s="106"/>
      <c r="P109" s="104"/>
    </row>
    <row r="110" ht="27.75" customHeight="1">
      <c r="A110" s="110"/>
      <c r="B110" s="111"/>
      <c r="C110" s="111"/>
      <c r="D110" s="111"/>
      <c r="E110" s="105"/>
      <c r="F110" s="111"/>
      <c r="G110" s="111"/>
      <c r="H110" s="111"/>
      <c r="I110" s="111"/>
      <c r="J110" s="101">
        <f t="shared" si="1"/>
        <v>0</v>
      </c>
      <c r="K110" s="105"/>
      <c r="L110" s="111"/>
      <c r="M110" s="105"/>
      <c r="N110" s="105"/>
      <c r="O110" s="106"/>
      <c r="P110" s="104"/>
    </row>
    <row r="111" ht="27.75" customHeight="1">
      <c r="A111" s="110"/>
      <c r="B111" s="111"/>
      <c r="C111" s="111"/>
      <c r="D111" s="111"/>
      <c r="E111" s="105"/>
      <c r="F111" s="111"/>
      <c r="G111" s="111"/>
      <c r="H111" s="111"/>
      <c r="I111" s="111"/>
      <c r="J111" s="101">
        <f t="shared" si="1"/>
        <v>0</v>
      </c>
      <c r="K111" s="105"/>
      <c r="L111" s="111"/>
      <c r="M111" s="105"/>
      <c r="N111" s="105"/>
      <c r="O111" s="106"/>
      <c r="P111" s="104"/>
    </row>
    <row r="112" ht="27.75" customHeight="1">
      <c r="A112" s="110"/>
      <c r="B112" s="111"/>
      <c r="C112" s="111"/>
      <c r="D112" s="111"/>
      <c r="E112" s="105"/>
      <c r="F112" s="111"/>
      <c r="G112" s="111"/>
      <c r="H112" s="111"/>
      <c r="I112" s="111"/>
      <c r="J112" s="101">
        <f t="shared" si="1"/>
        <v>0</v>
      </c>
      <c r="K112" s="105"/>
      <c r="L112" s="111"/>
      <c r="M112" s="105"/>
      <c r="N112" s="105"/>
      <c r="O112" s="106"/>
      <c r="P112" s="104"/>
    </row>
    <row r="113" ht="27.75" customHeight="1">
      <c r="A113" s="110"/>
      <c r="B113" s="111"/>
      <c r="C113" s="111"/>
      <c r="D113" s="111"/>
      <c r="E113" s="105"/>
      <c r="F113" s="111"/>
      <c r="G113" s="111"/>
      <c r="H113" s="111"/>
      <c r="I113" s="111"/>
      <c r="J113" s="101">
        <f t="shared" si="1"/>
        <v>0</v>
      </c>
      <c r="K113" s="105"/>
      <c r="L113" s="111"/>
      <c r="M113" s="105"/>
      <c r="N113" s="105"/>
      <c r="O113" s="106"/>
      <c r="P113" s="104"/>
    </row>
    <row r="114" ht="27.75" customHeight="1">
      <c r="A114" s="110"/>
      <c r="B114" s="111"/>
      <c r="C114" s="111"/>
      <c r="D114" s="111"/>
      <c r="E114" s="105"/>
      <c r="F114" s="111"/>
      <c r="G114" s="111"/>
      <c r="H114" s="111"/>
      <c r="I114" s="111"/>
      <c r="J114" s="101">
        <f t="shared" si="1"/>
        <v>0</v>
      </c>
      <c r="K114" s="105"/>
      <c r="L114" s="111"/>
      <c r="M114" s="105"/>
      <c r="N114" s="105"/>
      <c r="O114" s="106"/>
      <c r="P114" s="104"/>
    </row>
    <row r="115" ht="27.75" customHeight="1">
      <c r="A115" s="110"/>
      <c r="B115" s="111"/>
      <c r="C115" s="111"/>
      <c r="D115" s="111"/>
      <c r="E115" s="105"/>
      <c r="F115" s="111"/>
      <c r="G115" s="111"/>
      <c r="H115" s="111"/>
      <c r="I115" s="111"/>
      <c r="J115" s="101">
        <f t="shared" si="1"/>
        <v>0</v>
      </c>
      <c r="K115" s="105"/>
      <c r="L115" s="111"/>
      <c r="M115" s="105"/>
      <c r="N115" s="105"/>
      <c r="O115" s="106"/>
      <c r="P115" s="104"/>
    </row>
    <row r="116" ht="27.75" customHeight="1">
      <c r="A116" s="110"/>
      <c r="B116" s="111"/>
      <c r="C116" s="111"/>
      <c r="D116" s="111"/>
      <c r="E116" s="105"/>
      <c r="F116" s="111"/>
      <c r="G116" s="111"/>
      <c r="H116" s="111"/>
      <c r="I116" s="111"/>
      <c r="J116" s="101">
        <f t="shared" si="1"/>
        <v>0</v>
      </c>
      <c r="K116" s="105"/>
      <c r="L116" s="111"/>
      <c r="M116" s="105"/>
      <c r="N116" s="105"/>
      <c r="O116" s="106"/>
      <c r="P116" s="104"/>
    </row>
    <row r="117" ht="27.75" customHeight="1">
      <c r="A117" s="110"/>
      <c r="B117" s="111"/>
      <c r="C117" s="111"/>
      <c r="D117" s="111"/>
      <c r="E117" s="105"/>
      <c r="F117" s="111"/>
      <c r="G117" s="111"/>
      <c r="H117" s="111"/>
      <c r="I117" s="111"/>
      <c r="J117" s="101">
        <f t="shared" si="1"/>
        <v>0</v>
      </c>
      <c r="K117" s="105"/>
      <c r="L117" s="111"/>
      <c r="M117" s="105"/>
      <c r="N117" s="105"/>
      <c r="O117" s="106"/>
      <c r="P117" s="104"/>
    </row>
    <row r="118" ht="27.75" customHeight="1">
      <c r="A118" s="110"/>
      <c r="B118" s="111"/>
      <c r="C118" s="111"/>
      <c r="D118" s="111"/>
      <c r="E118" s="105"/>
      <c r="F118" s="111"/>
      <c r="G118" s="111"/>
      <c r="H118" s="111"/>
      <c r="I118" s="111"/>
      <c r="J118" s="101">
        <f t="shared" si="1"/>
        <v>0</v>
      </c>
      <c r="K118" s="105"/>
      <c r="L118" s="111"/>
      <c r="M118" s="105"/>
      <c r="N118" s="105"/>
      <c r="O118" s="106"/>
      <c r="P118" s="104"/>
    </row>
    <row r="119" ht="27.75" customHeight="1">
      <c r="A119" s="110"/>
      <c r="B119" s="111"/>
      <c r="C119" s="111"/>
      <c r="D119" s="111"/>
      <c r="E119" s="105"/>
      <c r="F119" s="111"/>
      <c r="G119" s="111"/>
      <c r="H119" s="111"/>
      <c r="I119" s="111"/>
      <c r="J119" s="101">
        <f t="shared" si="1"/>
        <v>0</v>
      </c>
      <c r="K119" s="105"/>
      <c r="L119" s="111"/>
      <c r="M119" s="105"/>
      <c r="N119" s="105"/>
      <c r="O119" s="106"/>
      <c r="P119" s="104"/>
    </row>
    <row r="120" ht="27.75" customHeight="1">
      <c r="A120" s="110"/>
      <c r="B120" s="111"/>
      <c r="C120" s="111"/>
      <c r="D120" s="111"/>
      <c r="E120" s="105"/>
      <c r="F120" s="111"/>
      <c r="G120" s="111"/>
      <c r="H120" s="111"/>
      <c r="I120" s="111"/>
      <c r="J120" s="101">
        <f t="shared" si="1"/>
        <v>0</v>
      </c>
      <c r="K120" s="105"/>
      <c r="L120" s="111"/>
      <c r="M120" s="105"/>
      <c r="N120" s="105"/>
      <c r="O120" s="106"/>
      <c r="P120" s="104"/>
    </row>
    <row r="121" ht="27.75" customHeight="1">
      <c r="A121" s="110"/>
      <c r="B121" s="111"/>
      <c r="C121" s="111"/>
      <c r="D121" s="111"/>
      <c r="E121" s="105"/>
      <c r="F121" s="111"/>
      <c r="G121" s="111"/>
      <c r="H121" s="111"/>
      <c r="I121" s="111"/>
      <c r="J121" s="101">
        <f t="shared" si="1"/>
        <v>0</v>
      </c>
      <c r="K121" s="105"/>
      <c r="L121" s="111"/>
      <c r="M121" s="105"/>
      <c r="N121" s="105"/>
      <c r="O121" s="106"/>
      <c r="P121" s="104"/>
    </row>
    <row r="122" ht="27.75" customHeight="1">
      <c r="A122" s="110"/>
      <c r="B122" s="111"/>
      <c r="C122" s="111"/>
      <c r="D122" s="111"/>
      <c r="E122" s="105"/>
      <c r="F122" s="111"/>
      <c r="G122" s="111"/>
      <c r="H122" s="111"/>
      <c r="I122" s="111"/>
      <c r="J122" s="101">
        <f t="shared" si="1"/>
        <v>0</v>
      </c>
      <c r="K122" s="105"/>
      <c r="L122" s="111"/>
      <c r="M122" s="105"/>
      <c r="N122" s="105"/>
      <c r="O122" s="106"/>
      <c r="P122" s="104"/>
    </row>
    <row r="123" ht="27.75" customHeight="1">
      <c r="A123" s="110"/>
      <c r="B123" s="111"/>
      <c r="C123" s="111"/>
      <c r="D123" s="111"/>
      <c r="E123" s="105"/>
      <c r="F123" s="111"/>
      <c r="G123" s="111"/>
      <c r="H123" s="111"/>
      <c r="I123" s="111"/>
      <c r="J123" s="101">
        <f t="shared" si="1"/>
        <v>0</v>
      </c>
      <c r="K123" s="105"/>
      <c r="L123" s="111"/>
      <c r="M123" s="105"/>
      <c r="N123" s="105"/>
      <c r="O123" s="106"/>
      <c r="P123" s="104"/>
    </row>
    <row r="124" ht="27.75" customHeight="1">
      <c r="A124" s="110"/>
      <c r="B124" s="111"/>
      <c r="C124" s="111"/>
      <c r="D124" s="111"/>
      <c r="E124" s="105"/>
      <c r="F124" s="111"/>
      <c r="G124" s="111"/>
      <c r="H124" s="111"/>
      <c r="I124" s="111"/>
      <c r="J124" s="101">
        <f t="shared" si="1"/>
        <v>0</v>
      </c>
      <c r="K124" s="105"/>
      <c r="L124" s="111"/>
      <c r="M124" s="105"/>
      <c r="N124" s="105"/>
      <c r="O124" s="106"/>
      <c r="P124" s="104"/>
    </row>
    <row r="125" ht="27.75" customHeight="1">
      <c r="A125" s="110"/>
      <c r="B125" s="111"/>
      <c r="C125" s="111"/>
      <c r="D125" s="111"/>
      <c r="E125" s="105"/>
      <c r="F125" s="111"/>
      <c r="G125" s="111"/>
      <c r="H125" s="111"/>
      <c r="I125" s="111"/>
      <c r="J125" s="101">
        <f t="shared" si="1"/>
        <v>0</v>
      </c>
      <c r="K125" s="105"/>
      <c r="L125" s="111"/>
      <c r="M125" s="105"/>
      <c r="N125" s="105"/>
      <c r="O125" s="106"/>
      <c r="P125" s="104"/>
    </row>
    <row r="126" ht="27.75" customHeight="1">
      <c r="A126" s="110"/>
      <c r="B126" s="111"/>
      <c r="C126" s="111"/>
      <c r="D126" s="111"/>
      <c r="E126" s="105"/>
      <c r="F126" s="111"/>
      <c r="G126" s="111"/>
      <c r="H126" s="111"/>
      <c r="I126" s="111"/>
      <c r="J126" s="101">
        <f t="shared" si="1"/>
        <v>0</v>
      </c>
      <c r="K126" s="105"/>
      <c r="L126" s="111"/>
      <c r="M126" s="105"/>
      <c r="N126" s="105"/>
      <c r="O126" s="106"/>
      <c r="P126" s="104"/>
    </row>
    <row r="127" ht="27.75" customHeight="1">
      <c r="A127" s="110"/>
      <c r="B127" s="111"/>
      <c r="C127" s="111"/>
      <c r="D127" s="111"/>
      <c r="E127" s="105"/>
      <c r="F127" s="111"/>
      <c r="G127" s="111"/>
      <c r="H127" s="111"/>
      <c r="I127" s="111"/>
      <c r="J127" s="101">
        <f t="shared" si="1"/>
        <v>0</v>
      </c>
      <c r="K127" s="105"/>
      <c r="L127" s="111"/>
      <c r="M127" s="105"/>
      <c r="N127" s="105"/>
      <c r="O127" s="106"/>
      <c r="P127" s="104"/>
    </row>
    <row r="128" ht="27.75" customHeight="1">
      <c r="A128" s="110"/>
      <c r="B128" s="111"/>
      <c r="C128" s="111"/>
      <c r="D128" s="111"/>
      <c r="E128" s="105"/>
      <c r="F128" s="111"/>
      <c r="G128" s="111"/>
      <c r="H128" s="111"/>
      <c r="I128" s="111"/>
      <c r="J128" s="101">
        <f t="shared" si="1"/>
        <v>0</v>
      </c>
      <c r="K128" s="105"/>
      <c r="L128" s="111"/>
      <c r="M128" s="105"/>
      <c r="N128" s="105"/>
      <c r="O128" s="106"/>
      <c r="P128" s="104"/>
    </row>
    <row r="129" ht="27.75" customHeight="1">
      <c r="A129" s="110"/>
      <c r="B129" s="111"/>
      <c r="C129" s="111"/>
      <c r="D129" s="111"/>
      <c r="E129" s="105"/>
      <c r="F129" s="111"/>
      <c r="G129" s="111"/>
      <c r="H129" s="111"/>
      <c r="I129" s="111"/>
      <c r="J129" s="101">
        <f t="shared" si="1"/>
        <v>0</v>
      </c>
      <c r="K129" s="105"/>
      <c r="L129" s="111"/>
      <c r="M129" s="105"/>
      <c r="N129" s="105"/>
      <c r="O129" s="106"/>
      <c r="P129" s="104"/>
    </row>
    <row r="130" ht="27.75" customHeight="1">
      <c r="A130" s="110"/>
      <c r="B130" s="111"/>
      <c r="C130" s="111"/>
      <c r="D130" s="111"/>
      <c r="E130" s="105"/>
      <c r="F130" s="111"/>
      <c r="G130" s="111"/>
      <c r="H130" s="111"/>
      <c r="I130" s="111"/>
      <c r="J130" s="101">
        <f t="shared" si="1"/>
        <v>0</v>
      </c>
      <c r="K130" s="105"/>
      <c r="L130" s="111"/>
      <c r="M130" s="105"/>
      <c r="N130" s="105"/>
      <c r="O130" s="106"/>
      <c r="P130" s="104"/>
    </row>
    <row r="131" ht="27.75" customHeight="1">
      <c r="A131" s="110"/>
      <c r="B131" s="111"/>
      <c r="C131" s="111"/>
      <c r="D131" s="111"/>
      <c r="E131" s="105"/>
      <c r="F131" s="111"/>
      <c r="G131" s="111"/>
      <c r="H131" s="111"/>
      <c r="I131" s="111"/>
      <c r="J131" s="101">
        <f t="shared" si="1"/>
        <v>0</v>
      </c>
      <c r="K131" s="105"/>
      <c r="L131" s="111"/>
      <c r="M131" s="105"/>
      <c r="N131" s="105"/>
      <c r="O131" s="106"/>
      <c r="P131" s="104"/>
    </row>
    <row r="132" ht="27.75" customHeight="1">
      <c r="A132" s="110"/>
      <c r="B132" s="111"/>
      <c r="C132" s="111"/>
      <c r="D132" s="111"/>
      <c r="E132" s="105"/>
      <c r="F132" s="111"/>
      <c r="G132" s="111"/>
      <c r="H132" s="111"/>
      <c r="I132" s="111"/>
      <c r="J132" s="101">
        <f t="shared" si="1"/>
        <v>0</v>
      </c>
      <c r="K132" s="105"/>
      <c r="L132" s="111"/>
      <c r="M132" s="105"/>
      <c r="N132" s="105"/>
      <c r="O132" s="106"/>
      <c r="P132" s="104"/>
    </row>
    <row r="133" ht="27.75" customHeight="1">
      <c r="A133" s="110"/>
      <c r="B133" s="111"/>
      <c r="C133" s="111"/>
      <c r="D133" s="111"/>
      <c r="E133" s="105"/>
      <c r="F133" s="111"/>
      <c r="G133" s="111"/>
      <c r="H133" s="111"/>
      <c r="I133" s="111"/>
      <c r="J133" s="101">
        <f t="shared" si="1"/>
        <v>0</v>
      </c>
      <c r="K133" s="105"/>
      <c r="L133" s="111"/>
      <c r="M133" s="105"/>
      <c r="N133" s="105"/>
      <c r="O133" s="106"/>
      <c r="P133" s="104"/>
    </row>
    <row r="134" ht="27.75" customHeight="1">
      <c r="A134" s="110"/>
      <c r="B134" s="111"/>
      <c r="C134" s="111"/>
      <c r="D134" s="111"/>
      <c r="E134" s="105"/>
      <c r="F134" s="111"/>
      <c r="G134" s="111"/>
      <c r="H134" s="111"/>
      <c r="I134" s="111"/>
      <c r="J134" s="101">
        <f t="shared" si="1"/>
        <v>0</v>
      </c>
      <c r="K134" s="105"/>
      <c r="L134" s="111"/>
      <c r="M134" s="105"/>
      <c r="N134" s="105"/>
      <c r="O134" s="106"/>
      <c r="P134" s="104"/>
    </row>
    <row r="135" ht="27.75" customHeight="1">
      <c r="A135" s="110"/>
      <c r="B135" s="111"/>
      <c r="C135" s="111"/>
      <c r="D135" s="111"/>
      <c r="E135" s="105"/>
      <c r="F135" s="111"/>
      <c r="G135" s="111"/>
      <c r="H135" s="111"/>
      <c r="I135" s="111"/>
      <c r="J135" s="101">
        <f t="shared" si="1"/>
        <v>0</v>
      </c>
      <c r="K135" s="105"/>
      <c r="L135" s="111"/>
      <c r="M135" s="105"/>
      <c r="N135" s="105"/>
      <c r="O135" s="106"/>
      <c r="P135" s="104"/>
    </row>
    <row r="136" ht="27.75" customHeight="1">
      <c r="A136" s="110"/>
      <c r="B136" s="111"/>
      <c r="C136" s="111"/>
      <c r="D136" s="111"/>
      <c r="E136" s="105"/>
      <c r="F136" s="111"/>
      <c r="G136" s="111"/>
      <c r="H136" s="111"/>
      <c r="I136" s="111"/>
      <c r="J136" s="101">
        <f t="shared" si="1"/>
        <v>0</v>
      </c>
      <c r="K136" s="105"/>
      <c r="L136" s="111"/>
      <c r="M136" s="105"/>
      <c r="N136" s="105"/>
      <c r="O136" s="106"/>
      <c r="P136" s="104"/>
    </row>
    <row r="137" ht="27.75" customHeight="1">
      <c r="A137" s="110"/>
      <c r="B137" s="111"/>
      <c r="C137" s="111"/>
      <c r="D137" s="111"/>
      <c r="E137" s="105"/>
      <c r="F137" s="111"/>
      <c r="G137" s="111"/>
      <c r="H137" s="111"/>
      <c r="I137" s="111"/>
      <c r="J137" s="101">
        <f t="shared" si="1"/>
        <v>0</v>
      </c>
      <c r="K137" s="105"/>
      <c r="L137" s="111"/>
      <c r="M137" s="105"/>
      <c r="N137" s="105"/>
      <c r="O137" s="106"/>
      <c r="P137" s="104"/>
    </row>
    <row r="138" ht="27.75" customHeight="1">
      <c r="A138" s="110"/>
      <c r="B138" s="111"/>
      <c r="C138" s="111"/>
      <c r="D138" s="111"/>
      <c r="E138" s="105"/>
      <c r="F138" s="111"/>
      <c r="G138" s="111"/>
      <c r="H138" s="111"/>
      <c r="I138" s="111"/>
      <c r="J138" s="101">
        <f t="shared" si="1"/>
        <v>0</v>
      </c>
      <c r="K138" s="105"/>
      <c r="L138" s="111"/>
      <c r="M138" s="105"/>
      <c r="N138" s="105"/>
      <c r="O138" s="106"/>
      <c r="P138" s="104"/>
    </row>
    <row r="139" ht="27.75" customHeight="1">
      <c r="A139" s="110"/>
      <c r="B139" s="111"/>
      <c r="C139" s="111"/>
      <c r="D139" s="111"/>
      <c r="E139" s="105"/>
      <c r="F139" s="111"/>
      <c r="G139" s="111"/>
      <c r="H139" s="111"/>
      <c r="I139" s="111"/>
      <c r="J139" s="101">
        <f t="shared" si="1"/>
        <v>0</v>
      </c>
      <c r="K139" s="105"/>
      <c r="L139" s="111"/>
      <c r="M139" s="105"/>
      <c r="N139" s="105"/>
      <c r="O139" s="106"/>
      <c r="P139" s="104"/>
    </row>
    <row r="140" ht="27.75" customHeight="1">
      <c r="A140" s="110"/>
      <c r="B140" s="111"/>
      <c r="C140" s="111"/>
      <c r="D140" s="111"/>
      <c r="E140" s="105"/>
      <c r="F140" s="111"/>
      <c r="G140" s="111"/>
      <c r="H140" s="111"/>
      <c r="I140" s="111"/>
      <c r="J140" s="101">
        <f t="shared" si="1"/>
        <v>0</v>
      </c>
      <c r="K140" s="105"/>
      <c r="L140" s="111"/>
      <c r="M140" s="105"/>
      <c r="N140" s="105"/>
      <c r="O140" s="106"/>
      <c r="P140" s="104"/>
    </row>
    <row r="141" ht="27.75" customHeight="1">
      <c r="A141" s="110"/>
      <c r="B141" s="111"/>
      <c r="C141" s="111"/>
      <c r="D141" s="111"/>
      <c r="E141" s="105"/>
      <c r="F141" s="111"/>
      <c r="G141" s="111"/>
      <c r="H141" s="111"/>
      <c r="I141" s="111"/>
      <c r="J141" s="101">
        <f t="shared" si="1"/>
        <v>0</v>
      </c>
      <c r="K141" s="105"/>
      <c r="L141" s="111"/>
      <c r="M141" s="105"/>
      <c r="N141" s="105"/>
      <c r="O141" s="106"/>
      <c r="P141" s="104"/>
    </row>
    <row r="142" ht="27.75" customHeight="1">
      <c r="A142" s="110"/>
      <c r="B142" s="111"/>
      <c r="C142" s="111"/>
      <c r="D142" s="111"/>
      <c r="E142" s="105"/>
      <c r="F142" s="111"/>
      <c r="G142" s="111"/>
      <c r="H142" s="111"/>
      <c r="I142" s="111"/>
      <c r="J142" s="101">
        <f t="shared" si="1"/>
        <v>0</v>
      </c>
      <c r="K142" s="105"/>
      <c r="L142" s="111"/>
      <c r="M142" s="105"/>
      <c r="N142" s="105"/>
      <c r="O142" s="106"/>
      <c r="P142" s="104"/>
    </row>
    <row r="143" ht="27.75" customHeight="1">
      <c r="A143" s="110"/>
      <c r="B143" s="111"/>
      <c r="C143" s="111"/>
      <c r="D143" s="111"/>
      <c r="E143" s="105"/>
      <c r="F143" s="111"/>
      <c r="G143" s="111"/>
      <c r="H143" s="111"/>
      <c r="I143" s="111"/>
      <c r="J143" s="101">
        <f t="shared" si="1"/>
        <v>0</v>
      </c>
      <c r="K143" s="105"/>
      <c r="L143" s="111"/>
      <c r="M143" s="105"/>
      <c r="N143" s="105"/>
      <c r="O143" s="106"/>
      <c r="P143" s="104"/>
    </row>
    <row r="144" ht="27.75" customHeight="1">
      <c r="A144" s="110"/>
      <c r="B144" s="111"/>
      <c r="C144" s="111"/>
      <c r="D144" s="111"/>
      <c r="E144" s="105"/>
      <c r="F144" s="111"/>
      <c r="G144" s="111"/>
      <c r="H144" s="111"/>
      <c r="I144" s="111"/>
      <c r="J144" s="101">
        <f t="shared" si="1"/>
        <v>0</v>
      </c>
      <c r="K144" s="105"/>
      <c r="L144" s="111"/>
      <c r="M144" s="105"/>
      <c r="N144" s="105"/>
      <c r="O144" s="106"/>
      <c r="P144" s="104"/>
    </row>
    <row r="145" ht="27.75" customHeight="1">
      <c r="A145" s="110"/>
      <c r="B145" s="111"/>
      <c r="C145" s="111"/>
      <c r="D145" s="111"/>
      <c r="E145" s="105"/>
      <c r="F145" s="111"/>
      <c r="G145" s="111"/>
      <c r="H145" s="111"/>
      <c r="I145" s="111"/>
      <c r="J145" s="101">
        <f t="shared" si="1"/>
        <v>0</v>
      </c>
      <c r="K145" s="105"/>
      <c r="L145" s="111"/>
      <c r="M145" s="105"/>
      <c r="N145" s="105"/>
      <c r="O145" s="106"/>
      <c r="P145" s="104"/>
    </row>
    <row r="146" ht="27.75" customHeight="1">
      <c r="A146" s="110"/>
      <c r="B146" s="111"/>
      <c r="C146" s="111"/>
      <c r="D146" s="111"/>
      <c r="E146" s="105"/>
      <c r="F146" s="111"/>
      <c r="G146" s="111"/>
      <c r="H146" s="111"/>
      <c r="I146" s="111"/>
      <c r="J146" s="101">
        <f t="shared" si="1"/>
        <v>0</v>
      </c>
      <c r="K146" s="105"/>
      <c r="L146" s="111"/>
      <c r="M146" s="105"/>
      <c r="N146" s="105"/>
      <c r="O146" s="106"/>
      <c r="P146" s="104"/>
    </row>
    <row r="147" ht="27.75" customHeight="1">
      <c r="A147" s="110"/>
      <c r="B147" s="111"/>
      <c r="C147" s="111"/>
      <c r="D147" s="111"/>
      <c r="E147" s="105"/>
      <c r="F147" s="111"/>
      <c r="G147" s="111"/>
      <c r="H147" s="111"/>
      <c r="I147" s="111"/>
      <c r="J147" s="101">
        <f t="shared" si="1"/>
        <v>0</v>
      </c>
      <c r="K147" s="105"/>
      <c r="L147" s="111"/>
      <c r="M147" s="105"/>
      <c r="N147" s="105"/>
      <c r="O147" s="106"/>
      <c r="P147" s="104"/>
    </row>
    <row r="148" ht="27.75" customHeight="1">
      <c r="A148" s="110"/>
      <c r="B148" s="111"/>
      <c r="C148" s="111"/>
      <c r="D148" s="111"/>
      <c r="E148" s="105"/>
      <c r="F148" s="111"/>
      <c r="G148" s="111"/>
      <c r="H148" s="111"/>
      <c r="I148" s="111"/>
      <c r="J148" s="101">
        <f t="shared" si="1"/>
        <v>0</v>
      </c>
      <c r="K148" s="105"/>
      <c r="L148" s="111"/>
      <c r="M148" s="105"/>
      <c r="N148" s="105"/>
      <c r="O148" s="106"/>
      <c r="P148" s="104"/>
    </row>
    <row r="149" ht="27.75" customHeight="1">
      <c r="A149" s="110"/>
      <c r="B149" s="111"/>
      <c r="C149" s="111"/>
      <c r="D149" s="111"/>
      <c r="E149" s="105"/>
      <c r="F149" s="111"/>
      <c r="G149" s="111"/>
      <c r="H149" s="111"/>
      <c r="I149" s="111"/>
      <c r="J149" s="101">
        <f t="shared" si="1"/>
        <v>0</v>
      </c>
      <c r="K149" s="105"/>
      <c r="L149" s="111"/>
      <c r="M149" s="105"/>
      <c r="N149" s="105"/>
      <c r="O149" s="106"/>
      <c r="P149" s="104"/>
    </row>
    <row r="150" ht="27.75" customHeight="1">
      <c r="A150" s="110"/>
      <c r="B150" s="111"/>
      <c r="C150" s="111"/>
      <c r="D150" s="111"/>
      <c r="E150" s="105"/>
      <c r="F150" s="111"/>
      <c r="G150" s="111"/>
      <c r="H150" s="111"/>
      <c r="I150" s="111"/>
      <c r="J150" s="101">
        <f t="shared" si="1"/>
        <v>0</v>
      </c>
      <c r="K150" s="105"/>
      <c r="L150" s="111"/>
      <c r="M150" s="105"/>
      <c r="N150" s="105"/>
      <c r="O150" s="106"/>
      <c r="P150" s="104"/>
    </row>
    <row r="151" ht="27.75" customHeight="1">
      <c r="A151" s="110"/>
      <c r="B151" s="111"/>
      <c r="C151" s="111"/>
      <c r="D151" s="111"/>
      <c r="E151" s="105"/>
      <c r="F151" s="111"/>
      <c r="G151" s="111"/>
      <c r="H151" s="111"/>
      <c r="I151" s="111"/>
      <c r="J151" s="101">
        <f t="shared" si="1"/>
        <v>0</v>
      </c>
      <c r="K151" s="105"/>
      <c r="L151" s="111"/>
      <c r="M151" s="105"/>
      <c r="N151" s="105"/>
      <c r="O151" s="106"/>
      <c r="P151" s="104"/>
    </row>
    <row r="152" ht="27.75" customHeight="1">
      <c r="A152" s="110"/>
      <c r="B152" s="111"/>
      <c r="C152" s="111"/>
      <c r="D152" s="111"/>
      <c r="E152" s="105"/>
      <c r="F152" s="111"/>
      <c r="G152" s="111"/>
      <c r="H152" s="111"/>
      <c r="I152" s="111"/>
      <c r="J152" s="101">
        <f t="shared" si="1"/>
        <v>0</v>
      </c>
      <c r="K152" s="105"/>
      <c r="L152" s="111"/>
      <c r="M152" s="105"/>
      <c r="N152" s="105"/>
      <c r="O152" s="106"/>
      <c r="P152" s="104"/>
    </row>
    <row r="153" ht="27.75" customHeight="1">
      <c r="A153" s="110"/>
      <c r="B153" s="111"/>
      <c r="C153" s="111"/>
      <c r="D153" s="111"/>
      <c r="E153" s="105"/>
      <c r="F153" s="111"/>
      <c r="G153" s="111"/>
      <c r="H153" s="111"/>
      <c r="I153" s="111"/>
      <c r="J153" s="101">
        <f t="shared" si="1"/>
        <v>0</v>
      </c>
      <c r="K153" s="105"/>
      <c r="L153" s="111"/>
      <c r="M153" s="105"/>
      <c r="N153" s="105"/>
      <c r="O153" s="106"/>
      <c r="P153" s="104"/>
    </row>
    <row r="154" ht="27.75" customHeight="1">
      <c r="A154" s="110"/>
      <c r="B154" s="111"/>
      <c r="C154" s="111"/>
      <c r="D154" s="111"/>
      <c r="E154" s="105"/>
      <c r="F154" s="111"/>
      <c r="G154" s="111"/>
      <c r="H154" s="111"/>
      <c r="I154" s="111"/>
      <c r="J154" s="101">
        <f t="shared" si="1"/>
        <v>0</v>
      </c>
      <c r="K154" s="105"/>
      <c r="L154" s="111"/>
      <c r="M154" s="105"/>
      <c r="N154" s="105"/>
      <c r="O154" s="106"/>
      <c r="P154" s="104"/>
    </row>
    <row r="155" ht="27.75" customHeight="1">
      <c r="A155" s="110"/>
      <c r="B155" s="111"/>
      <c r="C155" s="111"/>
      <c r="D155" s="111"/>
      <c r="E155" s="105"/>
      <c r="F155" s="111"/>
      <c r="G155" s="111"/>
      <c r="H155" s="111"/>
      <c r="I155" s="111"/>
      <c r="J155" s="101">
        <f t="shared" si="1"/>
        <v>0</v>
      </c>
      <c r="K155" s="105"/>
      <c r="L155" s="111"/>
      <c r="M155" s="105"/>
      <c r="N155" s="105"/>
      <c r="O155" s="106"/>
      <c r="P155" s="104"/>
    </row>
    <row r="156" ht="27.75" customHeight="1">
      <c r="A156" s="110"/>
      <c r="B156" s="111"/>
      <c r="C156" s="111"/>
      <c r="D156" s="111"/>
      <c r="E156" s="105"/>
      <c r="F156" s="111"/>
      <c r="G156" s="111"/>
      <c r="H156" s="111"/>
      <c r="I156" s="111"/>
      <c r="J156" s="101">
        <f t="shared" si="1"/>
        <v>0</v>
      </c>
      <c r="K156" s="105"/>
      <c r="L156" s="111"/>
      <c r="M156" s="105"/>
      <c r="N156" s="105"/>
      <c r="O156" s="106"/>
      <c r="P156" s="104"/>
    </row>
    <row r="157" ht="27.75" customHeight="1">
      <c r="A157" s="110"/>
      <c r="B157" s="111"/>
      <c r="C157" s="111"/>
      <c r="D157" s="111"/>
      <c r="E157" s="105"/>
      <c r="F157" s="111"/>
      <c r="G157" s="111"/>
      <c r="H157" s="111"/>
      <c r="I157" s="111"/>
      <c r="J157" s="101">
        <f t="shared" si="1"/>
        <v>0</v>
      </c>
      <c r="K157" s="105"/>
      <c r="L157" s="111"/>
      <c r="M157" s="105"/>
      <c r="N157" s="105"/>
      <c r="O157" s="106"/>
      <c r="P157" s="104"/>
    </row>
    <row r="158" ht="27.75" customHeight="1">
      <c r="A158" s="110"/>
      <c r="B158" s="111"/>
      <c r="C158" s="111"/>
      <c r="D158" s="111"/>
      <c r="E158" s="105"/>
      <c r="F158" s="111"/>
      <c r="G158" s="111"/>
      <c r="H158" s="111"/>
      <c r="I158" s="111"/>
      <c r="J158" s="101">
        <f t="shared" si="1"/>
        <v>0</v>
      </c>
      <c r="K158" s="105"/>
      <c r="L158" s="111"/>
      <c r="M158" s="105"/>
      <c r="N158" s="105"/>
      <c r="O158" s="106"/>
      <c r="P158" s="104"/>
    </row>
    <row r="159" ht="27.75" customHeight="1">
      <c r="A159" s="110"/>
      <c r="B159" s="111"/>
      <c r="C159" s="111"/>
      <c r="D159" s="111"/>
      <c r="E159" s="105"/>
      <c r="F159" s="111"/>
      <c r="G159" s="111"/>
      <c r="H159" s="111"/>
      <c r="I159" s="111"/>
      <c r="J159" s="101">
        <f t="shared" si="1"/>
        <v>0</v>
      </c>
      <c r="K159" s="105"/>
      <c r="L159" s="111"/>
      <c r="M159" s="105"/>
      <c r="N159" s="105"/>
      <c r="O159" s="106"/>
      <c r="P159" s="104"/>
    </row>
    <row r="160" ht="27.75" customHeight="1">
      <c r="A160" s="110"/>
      <c r="B160" s="111"/>
      <c r="C160" s="111"/>
      <c r="D160" s="111"/>
      <c r="E160" s="105"/>
      <c r="F160" s="111"/>
      <c r="G160" s="111"/>
      <c r="H160" s="111"/>
      <c r="I160" s="111"/>
      <c r="J160" s="101">
        <f t="shared" si="1"/>
        <v>0</v>
      </c>
      <c r="K160" s="105"/>
      <c r="L160" s="111"/>
      <c r="M160" s="105"/>
      <c r="N160" s="105"/>
      <c r="O160" s="106"/>
      <c r="P160" s="104"/>
    </row>
    <row r="161" ht="27.75" customHeight="1">
      <c r="A161" s="110"/>
      <c r="B161" s="111"/>
      <c r="C161" s="111"/>
      <c r="D161" s="111"/>
      <c r="E161" s="105"/>
      <c r="F161" s="111"/>
      <c r="G161" s="111"/>
      <c r="H161" s="111"/>
      <c r="I161" s="111"/>
      <c r="J161" s="101">
        <f t="shared" si="1"/>
        <v>0</v>
      </c>
      <c r="K161" s="105"/>
      <c r="L161" s="111"/>
      <c r="M161" s="105"/>
      <c r="N161" s="105"/>
      <c r="O161" s="106"/>
      <c r="P161" s="104"/>
    </row>
    <row r="162" ht="27.75" customHeight="1">
      <c r="A162" s="110"/>
      <c r="B162" s="111"/>
      <c r="C162" s="111"/>
      <c r="D162" s="111"/>
      <c r="E162" s="105"/>
      <c r="F162" s="111"/>
      <c r="G162" s="111"/>
      <c r="H162" s="111"/>
      <c r="I162" s="111"/>
      <c r="J162" s="101">
        <f t="shared" si="1"/>
        <v>0</v>
      </c>
      <c r="K162" s="105"/>
      <c r="L162" s="111"/>
      <c r="M162" s="105"/>
      <c r="N162" s="105"/>
      <c r="O162" s="106"/>
      <c r="P162" s="104"/>
    </row>
    <row r="163" ht="27.75" customHeight="1">
      <c r="A163" s="110"/>
      <c r="B163" s="111"/>
      <c r="C163" s="111"/>
      <c r="D163" s="111"/>
      <c r="E163" s="105"/>
      <c r="F163" s="111"/>
      <c r="G163" s="111"/>
      <c r="H163" s="111"/>
      <c r="I163" s="111"/>
      <c r="J163" s="101">
        <f t="shared" si="1"/>
        <v>0</v>
      </c>
      <c r="K163" s="105"/>
      <c r="L163" s="111"/>
      <c r="M163" s="105"/>
      <c r="N163" s="105"/>
      <c r="O163" s="106"/>
      <c r="P163" s="104"/>
    </row>
    <row r="164" ht="27.75" customHeight="1">
      <c r="A164" s="110"/>
      <c r="B164" s="111"/>
      <c r="C164" s="111"/>
      <c r="D164" s="111"/>
      <c r="E164" s="105"/>
      <c r="F164" s="111"/>
      <c r="G164" s="111"/>
      <c r="H164" s="111"/>
      <c r="I164" s="111"/>
      <c r="J164" s="101">
        <f t="shared" si="1"/>
        <v>0</v>
      </c>
      <c r="K164" s="105"/>
      <c r="L164" s="111"/>
      <c r="M164" s="105"/>
      <c r="N164" s="105"/>
      <c r="O164" s="106"/>
      <c r="P164" s="104"/>
    </row>
    <row r="165" ht="27.75" customHeight="1">
      <c r="A165" s="110"/>
      <c r="B165" s="111"/>
      <c r="C165" s="111"/>
      <c r="D165" s="111"/>
      <c r="E165" s="105"/>
      <c r="F165" s="111"/>
      <c r="G165" s="111"/>
      <c r="H165" s="111"/>
      <c r="I165" s="111"/>
      <c r="J165" s="101">
        <f t="shared" si="1"/>
        <v>0</v>
      </c>
      <c r="K165" s="105"/>
      <c r="L165" s="111"/>
      <c r="M165" s="105"/>
      <c r="N165" s="105"/>
      <c r="O165" s="106"/>
      <c r="P165" s="104"/>
    </row>
    <row r="166" ht="27.75" customHeight="1">
      <c r="A166" s="110"/>
      <c r="B166" s="111"/>
      <c r="C166" s="111"/>
      <c r="D166" s="111"/>
      <c r="E166" s="105"/>
      <c r="F166" s="111"/>
      <c r="G166" s="111"/>
      <c r="H166" s="111"/>
      <c r="I166" s="111"/>
      <c r="J166" s="101">
        <f t="shared" si="1"/>
        <v>0</v>
      </c>
      <c r="K166" s="105"/>
      <c r="L166" s="111"/>
      <c r="M166" s="105"/>
      <c r="N166" s="105"/>
      <c r="O166" s="106"/>
      <c r="P166" s="104"/>
    </row>
    <row r="167" ht="27.75" customHeight="1">
      <c r="A167" s="110"/>
      <c r="B167" s="111"/>
      <c r="C167" s="111"/>
      <c r="D167" s="111"/>
      <c r="E167" s="105"/>
      <c r="F167" s="111"/>
      <c r="G167" s="111"/>
      <c r="H167" s="111"/>
      <c r="I167" s="111"/>
      <c r="J167" s="101">
        <f t="shared" si="1"/>
        <v>0</v>
      </c>
      <c r="K167" s="105"/>
      <c r="L167" s="111"/>
      <c r="M167" s="105"/>
      <c r="N167" s="105"/>
      <c r="O167" s="106"/>
      <c r="P167" s="104"/>
    </row>
    <row r="168" ht="27.75" customHeight="1">
      <c r="A168" s="110"/>
      <c r="B168" s="111"/>
      <c r="C168" s="111"/>
      <c r="D168" s="111"/>
      <c r="E168" s="105"/>
      <c r="F168" s="111"/>
      <c r="G168" s="111"/>
      <c r="H168" s="111"/>
      <c r="I168" s="111"/>
      <c r="J168" s="101">
        <f t="shared" si="1"/>
        <v>0</v>
      </c>
      <c r="K168" s="105"/>
      <c r="L168" s="111"/>
      <c r="M168" s="105"/>
      <c r="N168" s="105"/>
      <c r="O168" s="106"/>
      <c r="P168" s="104"/>
    </row>
    <row r="169" ht="27.75" customHeight="1">
      <c r="A169" s="110"/>
      <c r="B169" s="111"/>
      <c r="C169" s="111"/>
      <c r="D169" s="111"/>
      <c r="E169" s="105"/>
      <c r="F169" s="111"/>
      <c r="G169" s="111"/>
      <c r="H169" s="111"/>
      <c r="I169" s="111"/>
      <c r="J169" s="101">
        <f t="shared" si="1"/>
        <v>0</v>
      </c>
      <c r="K169" s="105"/>
      <c r="L169" s="111"/>
      <c r="M169" s="105"/>
      <c r="N169" s="105"/>
      <c r="O169" s="106"/>
      <c r="P169" s="104"/>
    </row>
    <row r="170" ht="27.75" customHeight="1">
      <c r="A170" s="110"/>
      <c r="B170" s="111"/>
      <c r="C170" s="111"/>
      <c r="D170" s="111"/>
      <c r="E170" s="105"/>
      <c r="F170" s="111"/>
      <c r="G170" s="111"/>
      <c r="H170" s="111"/>
      <c r="I170" s="111"/>
      <c r="J170" s="101">
        <f t="shared" si="1"/>
        <v>0</v>
      </c>
      <c r="K170" s="105"/>
      <c r="L170" s="111"/>
      <c r="M170" s="105"/>
      <c r="N170" s="105"/>
      <c r="O170" s="106"/>
      <c r="P170" s="104"/>
    </row>
    <row r="171" ht="27.75" customHeight="1">
      <c r="A171" s="110"/>
      <c r="B171" s="111"/>
      <c r="C171" s="111"/>
      <c r="D171" s="111"/>
      <c r="E171" s="105"/>
      <c r="F171" s="111"/>
      <c r="G171" s="111"/>
      <c r="H171" s="111"/>
      <c r="I171" s="111"/>
      <c r="J171" s="101">
        <f t="shared" si="1"/>
        <v>0</v>
      </c>
      <c r="K171" s="105"/>
      <c r="L171" s="111"/>
      <c r="M171" s="105"/>
      <c r="N171" s="105"/>
      <c r="O171" s="106"/>
      <c r="P171" s="104"/>
    </row>
    <row r="172" ht="27.75" customHeight="1">
      <c r="A172" s="110"/>
      <c r="B172" s="111"/>
      <c r="C172" s="111"/>
      <c r="D172" s="111"/>
      <c r="E172" s="105"/>
      <c r="F172" s="111"/>
      <c r="G172" s="111"/>
      <c r="H172" s="111"/>
      <c r="I172" s="111"/>
      <c r="J172" s="101">
        <f t="shared" si="1"/>
        <v>0</v>
      </c>
      <c r="K172" s="105"/>
      <c r="L172" s="111"/>
      <c r="M172" s="105"/>
      <c r="N172" s="105"/>
      <c r="O172" s="106"/>
      <c r="P172" s="104"/>
    </row>
    <row r="173" ht="27.75" customHeight="1">
      <c r="A173" s="110"/>
      <c r="B173" s="111"/>
      <c r="C173" s="111"/>
      <c r="D173" s="111"/>
      <c r="E173" s="105"/>
      <c r="F173" s="111"/>
      <c r="G173" s="111"/>
      <c r="H173" s="111"/>
      <c r="I173" s="111"/>
      <c r="J173" s="101">
        <f t="shared" si="1"/>
        <v>0</v>
      </c>
      <c r="K173" s="105"/>
      <c r="L173" s="111"/>
      <c r="M173" s="105"/>
      <c r="N173" s="105"/>
      <c r="O173" s="106"/>
      <c r="P173" s="104"/>
    </row>
    <row r="174" ht="27.75" customHeight="1">
      <c r="A174" s="110"/>
      <c r="B174" s="111"/>
      <c r="C174" s="111"/>
      <c r="D174" s="111"/>
      <c r="E174" s="105"/>
      <c r="F174" s="111"/>
      <c r="G174" s="111"/>
      <c r="H174" s="111"/>
      <c r="I174" s="111"/>
      <c r="J174" s="101">
        <f t="shared" si="1"/>
        <v>0</v>
      </c>
      <c r="K174" s="105"/>
      <c r="L174" s="111"/>
      <c r="M174" s="105"/>
      <c r="N174" s="105"/>
      <c r="O174" s="106"/>
      <c r="P174" s="104"/>
    </row>
    <row r="175" ht="27.75" customHeight="1">
      <c r="A175" s="110"/>
      <c r="B175" s="111"/>
      <c r="C175" s="111"/>
      <c r="D175" s="111"/>
      <c r="E175" s="105"/>
      <c r="F175" s="111"/>
      <c r="G175" s="111"/>
      <c r="H175" s="111"/>
      <c r="I175" s="111"/>
      <c r="J175" s="101">
        <f t="shared" si="1"/>
        <v>0</v>
      </c>
      <c r="K175" s="105"/>
      <c r="L175" s="111"/>
      <c r="M175" s="105"/>
      <c r="N175" s="105"/>
      <c r="O175" s="106"/>
      <c r="P175" s="104"/>
    </row>
    <row r="176" ht="27.75" customHeight="1">
      <c r="A176" s="110"/>
      <c r="B176" s="111"/>
      <c r="C176" s="111"/>
      <c r="D176" s="111"/>
      <c r="E176" s="105"/>
      <c r="F176" s="111"/>
      <c r="G176" s="111"/>
      <c r="H176" s="111"/>
      <c r="I176" s="111"/>
      <c r="J176" s="101">
        <f t="shared" si="1"/>
        <v>0</v>
      </c>
      <c r="K176" s="105"/>
      <c r="L176" s="111"/>
      <c r="M176" s="105"/>
      <c r="N176" s="105"/>
      <c r="O176" s="106"/>
      <c r="P176" s="104"/>
    </row>
    <row r="177" ht="27.75" customHeight="1">
      <c r="A177" s="110"/>
      <c r="B177" s="111"/>
      <c r="C177" s="111"/>
      <c r="D177" s="111"/>
      <c r="E177" s="105"/>
      <c r="F177" s="111"/>
      <c r="G177" s="111"/>
      <c r="H177" s="111"/>
      <c r="I177" s="111"/>
      <c r="J177" s="101">
        <f t="shared" si="1"/>
        <v>0</v>
      </c>
      <c r="K177" s="105"/>
      <c r="L177" s="111"/>
      <c r="M177" s="105"/>
      <c r="N177" s="105"/>
      <c r="O177" s="106"/>
      <c r="P177" s="104"/>
    </row>
    <row r="178" ht="27.75" customHeight="1">
      <c r="A178" s="110"/>
      <c r="B178" s="111"/>
      <c r="C178" s="111"/>
      <c r="D178" s="111"/>
      <c r="E178" s="105"/>
      <c r="F178" s="111"/>
      <c r="G178" s="111"/>
      <c r="H178" s="111"/>
      <c r="I178" s="111"/>
      <c r="J178" s="101">
        <f t="shared" si="1"/>
        <v>0</v>
      </c>
      <c r="K178" s="105"/>
      <c r="L178" s="111"/>
      <c r="M178" s="105"/>
      <c r="N178" s="105"/>
      <c r="O178" s="106"/>
      <c r="P178" s="104"/>
    </row>
    <row r="179" ht="27.75" customHeight="1">
      <c r="A179" s="110"/>
      <c r="B179" s="111"/>
      <c r="C179" s="111"/>
      <c r="D179" s="111"/>
      <c r="E179" s="105"/>
      <c r="F179" s="111"/>
      <c r="G179" s="111"/>
      <c r="H179" s="111"/>
      <c r="I179" s="111"/>
      <c r="J179" s="101">
        <f t="shared" si="1"/>
        <v>0</v>
      </c>
      <c r="K179" s="105"/>
      <c r="L179" s="111"/>
      <c r="M179" s="105"/>
      <c r="N179" s="105"/>
      <c r="O179" s="106"/>
      <c r="P179" s="104"/>
    </row>
    <row r="180" ht="27.75" customHeight="1">
      <c r="A180" s="110"/>
      <c r="B180" s="111"/>
      <c r="C180" s="111"/>
      <c r="D180" s="111"/>
      <c r="E180" s="105"/>
      <c r="F180" s="111"/>
      <c r="G180" s="111"/>
      <c r="H180" s="111"/>
      <c r="I180" s="111"/>
      <c r="J180" s="101">
        <f t="shared" si="1"/>
        <v>0</v>
      </c>
      <c r="K180" s="105"/>
      <c r="L180" s="111"/>
      <c r="M180" s="105"/>
      <c r="N180" s="105"/>
      <c r="O180" s="106"/>
      <c r="P180" s="104"/>
    </row>
    <row r="181" ht="27.75" customHeight="1">
      <c r="A181" s="110"/>
      <c r="B181" s="111"/>
      <c r="C181" s="111"/>
      <c r="D181" s="111"/>
      <c r="E181" s="105"/>
      <c r="F181" s="111"/>
      <c r="G181" s="111"/>
      <c r="H181" s="111"/>
      <c r="I181" s="111"/>
      <c r="J181" s="101">
        <f t="shared" si="1"/>
        <v>0</v>
      </c>
      <c r="K181" s="105"/>
      <c r="L181" s="111"/>
      <c r="M181" s="105"/>
      <c r="N181" s="105"/>
      <c r="O181" s="106"/>
      <c r="P181" s="104"/>
    </row>
    <row r="182" ht="27.75" customHeight="1">
      <c r="A182" s="110"/>
      <c r="B182" s="111"/>
      <c r="C182" s="111"/>
      <c r="D182" s="111"/>
      <c r="E182" s="105"/>
      <c r="F182" s="111"/>
      <c r="G182" s="111"/>
      <c r="H182" s="111"/>
      <c r="I182" s="111"/>
      <c r="J182" s="101">
        <f t="shared" si="1"/>
        <v>0</v>
      </c>
      <c r="K182" s="105"/>
      <c r="L182" s="111"/>
      <c r="M182" s="105"/>
      <c r="N182" s="105"/>
      <c r="O182" s="106"/>
      <c r="P182" s="104"/>
    </row>
    <row r="183" ht="27.75" customHeight="1">
      <c r="A183" s="110"/>
      <c r="B183" s="111"/>
      <c r="C183" s="111"/>
      <c r="D183" s="111"/>
      <c r="E183" s="105"/>
      <c r="F183" s="111"/>
      <c r="G183" s="111"/>
      <c r="H183" s="111"/>
      <c r="I183" s="111"/>
      <c r="J183" s="101">
        <f t="shared" si="1"/>
        <v>0</v>
      </c>
      <c r="K183" s="105"/>
      <c r="L183" s="111"/>
      <c r="M183" s="105"/>
      <c r="N183" s="105"/>
      <c r="O183" s="106"/>
      <c r="P183" s="104"/>
    </row>
    <row r="184" ht="27.75" customHeight="1">
      <c r="A184" s="110"/>
      <c r="B184" s="111"/>
      <c r="C184" s="111"/>
      <c r="D184" s="111"/>
      <c r="E184" s="105"/>
      <c r="F184" s="111"/>
      <c r="G184" s="111"/>
      <c r="H184" s="111"/>
      <c r="I184" s="111"/>
      <c r="J184" s="101">
        <f t="shared" si="1"/>
        <v>0</v>
      </c>
      <c r="K184" s="105"/>
      <c r="L184" s="111"/>
      <c r="M184" s="105"/>
      <c r="N184" s="105"/>
      <c r="O184" s="106"/>
      <c r="P184" s="104"/>
    </row>
    <row r="185" ht="27.75" customHeight="1">
      <c r="A185" s="110"/>
      <c r="B185" s="111"/>
      <c r="C185" s="111"/>
      <c r="D185" s="111"/>
      <c r="E185" s="105"/>
      <c r="F185" s="111"/>
      <c r="G185" s="111"/>
      <c r="H185" s="111"/>
      <c r="I185" s="111"/>
      <c r="J185" s="101">
        <f t="shared" si="1"/>
        <v>0</v>
      </c>
      <c r="K185" s="105"/>
      <c r="L185" s="111"/>
      <c r="M185" s="105"/>
      <c r="N185" s="105"/>
      <c r="O185" s="106"/>
      <c r="P185" s="104"/>
    </row>
    <row r="186" ht="27.75" customHeight="1">
      <c r="A186" s="110"/>
      <c r="B186" s="111"/>
      <c r="C186" s="111"/>
      <c r="D186" s="111"/>
      <c r="E186" s="105"/>
      <c r="F186" s="111"/>
      <c r="G186" s="111"/>
      <c r="H186" s="111"/>
      <c r="I186" s="111"/>
      <c r="J186" s="101">
        <f t="shared" si="1"/>
        <v>0</v>
      </c>
      <c r="K186" s="105"/>
      <c r="L186" s="111"/>
      <c r="M186" s="105"/>
      <c r="N186" s="105"/>
      <c r="O186" s="106"/>
      <c r="P186" s="104"/>
    </row>
    <row r="187" ht="27.75" customHeight="1">
      <c r="A187" s="110"/>
      <c r="B187" s="111"/>
      <c r="C187" s="111"/>
      <c r="D187" s="111"/>
      <c r="E187" s="105"/>
      <c r="F187" s="111"/>
      <c r="G187" s="111"/>
      <c r="H187" s="111"/>
      <c r="I187" s="111"/>
      <c r="J187" s="101">
        <f t="shared" si="1"/>
        <v>0</v>
      </c>
      <c r="K187" s="105"/>
      <c r="L187" s="111"/>
      <c r="M187" s="105"/>
      <c r="N187" s="105"/>
      <c r="O187" s="106"/>
      <c r="P187" s="104"/>
    </row>
    <row r="188" ht="27.75" customHeight="1">
      <c r="A188" s="110"/>
      <c r="B188" s="111"/>
      <c r="C188" s="111"/>
      <c r="D188" s="111"/>
      <c r="E188" s="105"/>
      <c r="F188" s="111"/>
      <c r="G188" s="111"/>
      <c r="H188" s="111"/>
      <c r="I188" s="111"/>
      <c r="J188" s="101">
        <f t="shared" si="1"/>
        <v>0</v>
      </c>
      <c r="K188" s="105"/>
      <c r="L188" s="111"/>
      <c r="M188" s="105"/>
      <c r="N188" s="105"/>
      <c r="O188" s="106"/>
      <c r="P188" s="104"/>
    </row>
    <row r="189" ht="27.75" customHeight="1">
      <c r="A189" s="110"/>
      <c r="B189" s="111"/>
      <c r="C189" s="111"/>
      <c r="D189" s="111"/>
      <c r="E189" s="105"/>
      <c r="F189" s="111"/>
      <c r="G189" s="111"/>
      <c r="H189" s="111"/>
      <c r="I189" s="111"/>
      <c r="J189" s="101">
        <f t="shared" si="1"/>
        <v>0</v>
      </c>
      <c r="K189" s="105"/>
      <c r="L189" s="111"/>
      <c r="M189" s="105"/>
      <c r="N189" s="105"/>
      <c r="O189" s="106"/>
      <c r="P189" s="104"/>
    </row>
    <row r="190" ht="27.75" customHeight="1">
      <c r="A190" s="110"/>
      <c r="B190" s="111"/>
      <c r="C190" s="111"/>
      <c r="D190" s="111"/>
      <c r="E190" s="105"/>
      <c r="F190" s="111"/>
      <c r="G190" s="111"/>
      <c r="H190" s="111"/>
      <c r="I190" s="111"/>
      <c r="J190" s="101">
        <f t="shared" si="1"/>
        <v>0</v>
      </c>
      <c r="K190" s="105"/>
      <c r="L190" s="111"/>
      <c r="M190" s="105"/>
      <c r="N190" s="105"/>
      <c r="O190" s="106"/>
      <c r="P190" s="104"/>
    </row>
    <row r="191" ht="27.75" customHeight="1">
      <c r="A191" s="110"/>
      <c r="B191" s="111"/>
      <c r="C191" s="111"/>
      <c r="D191" s="111"/>
      <c r="E191" s="105"/>
      <c r="F191" s="111"/>
      <c r="G191" s="111"/>
      <c r="H191" s="111"/>
      <c r="I191" s="111"/>
      <c r="J191" s="101">
        <f t="shared" si="1"/>
        <v>0</v>
      </c>
      <c r="K191" s="105"/>
      <c r="L191" s="111"/>
      <c r="M191" s="105"/>
      <c r="N191" s="105"/>
      <c r="O191" s="106"/>
      <c r="P191" s="104"/>
    </row>
    <row r="192" ht="27.75" customHeight="1">
      <c r="A192" s="110"/>
      <c r="B192" s="111"/>
      <c r="C192" s="111"/>
      <c r="D192" s="111"/>
      <c r="E192" s="105"/>
      <c r="F192" s="111"/>
      <c r="G192" s="111"/>
      <c r="H192" s="111"/>
      <c r="I192" s="111"/>
      <c r="J192" s="101">
        <f t="shared" si="1"/>
        <v>0</v>
      </c>
      <c r="K192" s="105"/>
      <c r="L192" s="111"/>
      <c r="M192" s="105"/>
      <c r="N192" s="105"/>
      <c r="O192" s="106"/>
      <c r="P192" s="104"/>
    </row>
    <row r="193" ht="27.75" customHeight="1">
      <c r="A193" s="110"/>
      <c r="B193" s="111"/>
      <c r="C193" s="111"/>
      <c r="D193" s="111"/>
      <c r="E193" s="105"/>
      <c r="F193" s="111"/>
      <c r="G193" s="111"/>
      <c r="H193" s="111"/>
      <c r="I193" s="111"/>
      <c r="J193" s="101">
        <f t="shared" si="1"/>
        <v>0</v>
      </c>
      <c r="K193" s="105"/>
      <c r="L193" s="111"/>
      <c r="M193" s="105"/>
      <c r="N193" s="105"/>
      <c r="O193" s="106"/>
      <c r="P193" s="104"/>
    </row>
    <row r="194" ht="27.75" customHeight="1">
      <c r="A194" s="110"/>
      <c r="B194" s="111"/>
      <c r="C194" s="111"/>
      <c r="D194" s="111"/>
      <c r="E194" s="105"/>
      <c r="F194" s="111"/>
      <c r="G194" s="111"/>
      <c r="H194" s="111"/>
      <c r="I194" s="111"/>
      <c r="J194" s="101">
        <f t="shared" si="1"/>
        <v>0</v>
      </c>
      <c r="K194" s="105"/>
      <c r="L194" s="111"/>
      <c r="M194" s="105"/>
      <c r="N194" s="105"/>
      <c r="O194" s="106"/>
      <c r="P194" s="104"/>
    </row>
    <row r="195" ht="27.75" customHeight="1">
      <c r="A195" s="110"/>
      <c r="B195" s="111"/>
      <c r="C195" s="111"/>
      <c r="D195" s="111"/>
      <c r="E195" s="105"/>
      <c r="F195" s="111"/>
      <c r="G195" s="111"/>
      <c r="H195" s="111"/>
      <c r="I195" s="111"/>
      <c r="J195" s="101">
        <f t="shared" si="1"/>
        <v>0</v>
      </c>
      <c r="K195" s="105"/>
      <c r="L195" s="111"/>
      <c r="M195" s="105"/>
      <c r="N195" s="105"/>
      <c r="O195" s="106"/>
      <c r="P195" s="104"/>
    </row>
    <row r="196" ht="27.75" customHeight="1">
      <c r="A196" s="110"/>
      <c r="B196" s="111"/>
      <c r="C196" s="111"/>
      <c r="D196" s="111"/>
      <c r="E196" s="105"/>
      <c r="F196" s="111"/>
      <c r="G196" s="111"/>
      <c r="H196" s="111"/>
      <c r="I196" s="111"/>
      <c r="J196" s="101">
        <f t="shared" si="1"/>
        <v>0</v>
      </c>
      <c r="K196" s="105"/>
      <c r="L196" s="111"/>
      <c r="M196" s="105"/>
      <c r="N196" s="105"/>
      <c r="O196" s="106"/>
      <c r="P196" s="104"/>
    </row>
    <row r="197" ht="27.75" customHeight="1">
      <c r="A197" s="110"/>
      <c r="B197" s="111"/>
      <c r="C197" s="111"/>
      <c r="D197" s="111"/>
      <c r="E197" s="105"/>
      <c r="F197" s="111"/>
      <c r="G197" s="111"/>
      <c r="H197" s="111"/>
      <c r="I197" s="111"/>
      <c r="J197" s="101">
        <f t="shared" si="1"/>
        <v>0</v>
      </c>
      <c r="K197" s="105"/>
      <c r="L197" s="111"/>
      <c r="M197" s="105"/>
      <c r="N197" s="105"/>
      <c r="O197" s="106"/>
      <c r="P197" s="104"/>
    </row>
    <row r="198" ht="27.75" customHeight="1">
      <c r="A198" s="110"/>
      <c r="B198" s="111"/>
      <c r="C198" s="111"/>
      <c r="D198" s="111"/>
      <c r="E198" s="105"/>
      <c r="F198" s="111"/>
      <c r="G198" s="111"/>
      <c r="H198" s="111"/>
      <c r="I198" s="111"/>
      <c r="J198" s="101">
        <f t="shared" si="1"/>
        <v>0</v>
      </c>
      <c r="K198" s="105"/>
      <c r="L198" s="111"/>
      <c r="M198" s="105"/>
      <c r="N198" s="105"/>
      <c r="O198" s="106"/>
      <c r="P198" s="104"/>
    </row>
    <row r="199" ht="27.75" customHeight="1">
      <c r="A199" s="110"/>
      <c r="B199" s="111"/>
      <c r="C199" s="111"/>
      <c r="D199" s="111"/>
      <c r="E199" s="105"/>
      <c r="F199" s="111"/>
      <c r="G199" s="111"/>
      <c r="H199" s="111"/>
      <c r="I199" s="111"/>
      <c r="J199" s="101">
        <f t="shared" si="1"/>
        <v>0</v>
      </c>
      <c r="K199" s="105"/>
      <c r="L199" s="111"/>
      <c r="M199" s="105"/>
      <c r="N199" s="105"/>
      <c r="O199" s="106"/>
      <c r="P199" s="104"/>
    </row>
    <row r="200" ht="27.75" customHeight="1">
      <c r="A200" s="110"/>
      <c r="B200" s="111"/>
      <c r="C200" s="111"/>
      <c r="D200" s="111"/>
      <c r="E200" s="105"/>
      <c r="F200" s="111"/>
      <c r="G200" s="111"/>
      <c r="H200" s="111"/>
      <c r="I200" s="111"/>
      <c r="J200" s="101">
        <f t="shared" si="1"/>
        <v>0</v>
      </c>
      <c r="K200" s="105"/>
      <c r="L200" s="111"/>
      <c r="M200" s="105"/>
      <c r="N200" s="105"/>
      <c r="O200" s="106"/>
      <c r="P200" s="104"/>
    </row>
    <row r="201" ht="15.75" customHeight="1">
      <c r="E201" s="77"/>
      <c r="K201" s="75"/>
      <c r="L201" s="76"/>
      <c r="M201" s="75"/>
      <c r="N201" s="75"/>
      <c r="O201" s="76"/>
    </row>
    <row r="202" ht="15.75" customHeight="1">
      <c r="E202" s="77"/>
      <c r="K202" s="75"/>
      <c r="L202" s="76"/>
      <c r="M202" s="75"/>
      <c r="N202" s="75"/>
      <c r="O202" s="76"/>
    </row>
    <row r="203" ht="15.75" customHeight="1">
      <c r="E203" s="77"/>
      <c r="K203" s="75"/>
      <c r="L203" s="76"/>
      <c r="M203" s="75"/>
      <c r="N203" s="75"/>
      <c r="O203" s="76"/>
    </row>
    <row r="204" ht="15.75" customHeight="1">
      <c r="E204" s="77"/>
      <c r="K204" s="75"/>
      <c r="L204" s="76"/>
      <c r="M204" s="75"/>
      <c r="N204" s="75"/>
      <c r="O204" s="76"/>
    </row>
    <row r="205" ht="15.75" customHeight="1">
      <c r="E205" s="77"/>
      <c r="K205" s="75"/>
      <c r="L205" s="76"/>
      <c r="M205" s="75"/>
      <c r="N205" s="75"/>
      <c r="O205" s="76"/>
    </row>
    <row r="206" ht="15.75" customHeight="1">
      <c r="E206" s="77"/>
      <c r="K206" s="75"/>
      <c r="L206" s="76"/>
      <c r="M206" s="75"/>
      <c r="N206" s="75"/>
      <c r="O206" s="76"/>
    </row>
    <row r="207" ht="15.75" customHeight="1">
      <c r="E207" s="77"/>
      <c r="K207" s="75"/>
      <c r="L207" s="76"/>
      <c r="M207" s="75"/>
      <c r="N207" s="75"/>
      <c r="O207" s="76"/>
    </row>
    <row r="208" ht="15.75" customHeight="1">
      <c r="E208" s="77"/>
      <c r="K208" s="75"/>
      <c r="L208" s="76"/>
      <c r="M208" s="75"/>
      <c r="N208" s="75"/>
      <c r="O208" s="76"/>
    </row>
    <row r="209" ht="15.75" customHeight="1">
      <c r="E209" s="77"/>
      <c r="K209" s="75"/>
      <c r="L209" s="76"/>
      <c r="M209" s="75"/>
      <c r="N209" s="75"/>
      <c r="O209" s="76"/>
    </row>
    <row r="210" ht="15.75" customHeight="1">
      <c r="E210" s="77"/>
      <c r="K210" s="75"/>
      <c r="L210" s="76"/>
      <c r="M210" s="75"/>
      <c r="N210" s="75"/>
      <c r="O210" s="76"/>
    </row>
    <row r="211" ht="15.75" customHeight="1">
      <c r="E211" s="77"/>
      <c r="K211" s="75"/>
      <c r="L211" s="76"/>
      <c r="M211" s="75"/>
      <c r="N211" s="75"/>
      <c r="O211" s="76"/>
    </row>
    <row r="212" ht="15.75" customHeight="1">
      <c r="E212" s="77"/>
      <c r="K212" s="75"/>
      <c r="L212" s="76"/>
      <c r="M212" s="75"/>
      <c r="N212" s="75"/>
      <c r="O212" s="76"/>
    </row>
    <row r="213" ht="15.75" customHeight="1">
      <c r="E213" s="77"/>
      <c r="K213" s="75"/>
      <c r="L213" s="76"/>
      <c r="M213" s="75"/>
      <c r="N213" s="75"/>
      <c r="O213" s="76"/>
    </row>
    <row r="214" ht="15.75" customHeight="1">
      <c r="E214" s="77"/>
      <c r="K214" s="75"/>
      <c r="L214" s="76"/>
      <c r="M214" s="75"/>
      <c r="N214" s="75"/>
      <c r="O214" s="76"/>
    </row>
    <row r="215" ht="15.75" customHeight="1">
      <c r="E215" s="77"/>
      <c r="K215" s="75"/>
      <c r="L215" s="76"/>
      <c r="M215" s="75"/>
      <c r="N215" s="75"/>
      <c r="O215" s="76"/>
    </row>
    <row r="216" ht="15.75" customHeight="1">
      <c r="E216" s="77"/>
      <c r="K216" s="75"/>
      <c r="L216" s="76"/>
      <c r="M216" s="75"/>
      <c r="N216" s="75"/>
      <c r="O216" s="76"/>
    </row>
    <row r="217" ht="15.75" customHeight="1">
      <c r="E217" s="77"/>
      <c r="K217" s="75"/>
      <c r="L217" s="76"/>
      <c r="M217" s="75"/>
      <c r="N217" s="75"/>
      <c r="O217" s="76"/>
    </row>
    <row r="218" ht="15.75" customHeight="1">
      <c r="E218" s="77"/>
      <c r="K218" s="75"/>
      <c r="L218" s="76"/>
      <c r="M218" s="75"/>
      <c r="N218" s="75"/>
      <c r="O218" s="76"/>
    </row>
    <row r="219" ht="15.75" customHeight="1">
      <c r="E219" s="77"/>
      <c r="K219" s="75"/>
      <c r="L219" s="76"/>
      <c r="M219" s="75"/>
      <c r="N219" s="75"/>
      <c r="O219" s="76"/>
    </row>
    <row r="220" ht="15.75" customHeight="1">
      <c r="E220" s="77"/>
      <c r="K220" s="75"/>
      <c r="L220" s="76"/>
      <c r="M220" s="75"/>
      <c r="N220" s="75"/>
      <c r="O220" s="76"/>
    </row>
    <row r="221" ht="15.75" customHeight="1">
      <c r="E221" s="77"/>
      <c r="K221" s="75"/>
      <c r="L221" s="76"/>
      <c r="M221" s="75"/>
      <c r="N221" s="75"/>
      <c r="O221" s="76"/>
    </row>
    <row r="222" ht="15.75" customHeight="1">
      <c r="E222" s="77"/>
      <c r="K222" s="75"/>
      <c r="L222" s="76"/>
      <c r="M222" s="75"/>
      <c r="N222" s="75"/>
      <c r="O222" s="76"/>
    </row>
    <row r="223" ht="15.75" customHeight="1">
      <c r="E223" s="77"/>
      <c r="K223" s="75"/>
      <c r="L223" s="76"/>
      <c r="M223" s="75"/>
      <c r="N223" s="75"/>
      <c r="O223" s="76"/>
    </row>
    <row r="224" ht="15.75" customHeight="1">
      <c r="E224" s="77"/>
      <c r="K224" s="75"/>
      <c r="L224" s="76"/>
      <c r="M224" s="75"/>
      <c r="N224" s="75"/>
      <c r="O224" s="76"/>
    </row>
    <row r="225" ht="15.75" customHeight="1">
      <c r="E225" s="77"/>
      <c r="K225" s="75"/>
      <c r="L225" s="76"/>
      <c r="M225" s="75"/>
      <c r="N225" s="75"/>
      <c r="O225" s="76"/>
    </row>
    <row r="226" ht="15.75" customHeight="1">
      <c r="E226" s="77"/>
      <c r="K226" s="75"/>
      <c r="L226" s="76"/>
      <c r="M226" s="75"/>
      <c r="N226" s="75"/>
      <c r="O226" s="76"/>
    </row>
    <row r="227" ht="15.75" customHeight="1">
      <c r="E227" s="77"/>
      <c r="K227" s="75"/>
      <c r="L227" s="76"/>
      <c r="M227" s="75"/>
      <c r="N227" s="75"/>
      <c r="O227" s="76"/>
    </row>
    <row r="228" ht="15.75" customHeight="1">
      <c r="E228" s="77"/>
      <c r="K228" s="75"/>
      <c r="L228" s="76"/>
      <c r="M228" s="75"/>
      <c r="N228" s="75"/>
      <c r="O228" s="76"/>
    </row>
    <row r="229" ht="15.75" customHeight="1">
      <c r="E229" s="77"/>
      <c r="K229" s="75"/>
      <c r="L229" s="76"/>
      <c r="M229" s="75"/>
      <c r="N229" s="75"/>
      <c r="O229" s="76"/>
    </row>
    <row r="230" ht="15.75" customHeight="1">
      <c r="E230" s="77"/>
      <c r="K230" s="75"/>
      <c r="L230" s="76"/>
      <c r="M230" s="75"/>
      <c r="N230" s="75"/>
      <c r="O230" s="76"/>
    </row>
    <row r="231" ht="15.75" customHeight="1">
      <c r="E231" s="77"/>
      <c r="K231" s="75"/>
      <c r="L231" s="76"/>
      <c r="M231" s="75"/>
      <c r="N231" s="75"/>
      <c r="O231" s="76"/>
    </row>
    <row r="232" ht="15.75" customHeight="1">
      <c r="E232" s="77"/>
      <c r="K232" s="75"/>
      <c r="L232" s="76"/>
      <c r="M232" s="75"/>
      <c r="N232" s="75"/>
      <c r="O232" s="76"/>
    </row>
    <row r="233" ht="15.75" customHeight="1">
      <c r="E233" s="77"/>
      <c r="K233" s="75"/>
      <c r="L233" s="76"/>
      <c r="M233" s="75"/>
      <c r="N233" s="75"/>
      <c r="O233" s="76"/>
    </row>
    <row r="234" ht="15.75" customHeight="1">
      <c r="E234" s="77"/>
      <c r="K234" s="75"/>
      <c r="L234" s="76"/>
      <c r="M234" s="75"/>
      <c r="N234" s="75"/>
      <c r="O234" s="76"/>
    </row>
    <row r="235" ht="15.75" customHeight="1">
      <c r="E235" s="77"/>
      <c r="K235" s="75"/>
      <c r="L235" s="76"/>
      <c r="M235" s="75"/>
      <c r="N235" s="75"/>
      <c r="O235" s="76"/>
    </row>
    <row r="236" ht="15.75" customHeight="1">
      <c r="E236" s="77"/>
      <c r="K236" s="75"/>
      <c r="L236" s="76"/>
      <c r="M236" s="75"/>
      <c r="N236" s="75"/>
      <c r="O236" s="76"/>
    </row>
    <row r="237" ht="15.75" customHeight="1">
      <c r="E237" s="77"/>
      <c r="K237" s="75"/>
      <c r="L237" s="76"/>
      <c r="M237" s="75"/>
      <c r="N237" s="75"/>
      <c r="O237" s="76"/>
    </row>
    <row r="238" ht="15.75" customHeight="1">
      <c r="E238" s="77"/>
      <c r="K238" s="75"/>
      <c r="L238" s="76"/>
      <c r="M238" s="75"/>
      <c r="N238" s="75"/>
      <c r="O238" s="76"/>
    </row>
    <row r="239" ht="15.75" customHeight="1">
      <c r="E239" s="77"/>
      <c r="K239" s="75"/>
      <c r="L239" s="76"/>
      <c r="M239" s="75"/>
      <c r="N239" s="75"/>
      <c r="O239" s="76"/>
    </row>
    <row r="240" ht="15.75" customHeight="1">
      <c r="E240" s="77"/>
      <c r="K240" s="75"/>
      <c r="L240" s="76"/>
      <c r="M240" s="75"/>
      <c r="N240" s="75"/>
      <c r="O240" s="76"/>
    </row>
    <row r="241" ht="15.75" customHeight="1">
      <c r="E241" s="77"/>
      <c r="K241" s="75"/>
      <c r="L241" s="76"/>
      <c r="M241" s="75"/>
      <c r="N241" s="75"/>
      <c r="O241" s="76"/>
    </row>
    <row r="242" ht="15.75" customHeight="1">
      <c r="E242" s="77"/>
      <c r="K242" s="75"/>
      <c r="L242" s="76"/>
      <c r="M242" s="75"/>
      <c r="N242" s="75"/>
      <c r="O242" s="76"/>
    </row>
    <row r="243" ht="15.75" customHeight="1">
      <c r="E243" s="77"/>
      <c r="K243" s="75"/>
      <c r="L243" s="76"/>
      <c r="M243" s="75"/>
      <c r="N243" s="75"/>
      <c r="O243" s="76"/>
    </row>
    <row r="244" ht="15.75" customHeight="1">
      <c r="E244" s="77"/>
      <c r="K244" s="75"/>
      <c r="L244" s="76"/>
      <c r="M244" s="75"/>
      <c r="N244" s="75"/>
      <c r="O244" s="76"/>
    </row>
    <row r="245" ht="15.75" customHeight="1">
      <c r="E245" s="77"/>
      <c r="K245" s="75"/>
      <c r="L245" s="76"/>
      <c r="M245" s="75"/>
      <c r="N245" s="75"/>
      <c r="O245" s="76"/>
    </row>
    <row r="246" ht="15.75" customHeight="1">
      <c r="E246" s="77"/>
      <c r="K246" s="75"/>
      <c r="L246" s="76"/>
      <c r="M246" s="75"/>
      <c r="N246" s="75"/>
      <c r="O246" s="76"/>
    </row>
    <row r="247" ht="15.75" customHeight="1">
      <c r="E247" s="77"/>
      <c r="K247" s="75"/>
      <c r="L247" s="76"/>
      <c r="M247" s="75"/>
      <c r="N247" s="75"/>
      <c r="O247" s="76"/>
    </row>
    <row r="248" ht="15.75" customHeight="1">
      <c r="E248" s="77"/>
      <c r="K248" s="75"/>
      <c r="L248" s="76"/>
      <c r="M248" s="75"/>
      <c r="N248" s="75"/>
      <c r="O248" s="76"/>
    </row>
    <row r="249" ht="15.75" customHeight="1">
      <c r="E249" s="77"/>
      <c r="K249" s="75"/>
      <c r="L249" s="76"/>
      <c r="M249" s="75"/>
      <c r="N249" s="75"/>
      <c r="O249" s="76"/>
    </row>
    <row r="250" ht="15.75" customHeight="1">
      <c r="E250" s="77"/>
      <c r="K250" s="75"/>
      <c r="L250" s="76"/>
      <c r="M250" s="75"/>
      <c r="N250" s="75"/>
      <c r="O250" s="76"/>
    </row>
    <row r="251" ht="15.75" customHeight="1">
      <c r="E251" s="77"/>
      <c r="K251" s="75"/>
      <c r="L251" s="76"/>
      <c r="M251" s="75"/>
      <c r="N251" s="75"/>
      <c r="O251" s="76"/>
    </row>
    <row r="252" ht="15.75" customHeight="1">
      <c r="E252" s="77"/>
      <c r="K252" s="75"/>
      <c r="L252" s="76"/>
      <c r="M252" s="75"/>
      <c r="N252" s="75"/>
      <c r="O252" s="76"/>
    </row>
    <row r="253" ht="15.75" customHeight="1">
      <c r="E253" s="77"/>
      <c r="K253" s="75"/>
      <c r="L253" s="76"/>
      <c r="M253" s="75"/>
      <c r="N253" s="75"/>
      <c r="O253" s="76"/>
    </row>
    <row r="254" ht="15.75" customHeight="1">
      <c r="E254" s="77"/>
      <c r="K254" s="75"/>
      <c r="L254" s="76"/>
      <c r="M254" s="75"/>
      <c r="N254" s="75"/>
      <c r="O254" s="76"/>
    </row>
    <row r="255" ht="15.75" customHeight="1">
      <c r="E255" s="77"/>
      <c r="K255" s="75"/>
      <c r="L255" s="76"/>
      <c r="M255" s="75"/>
      <c r="N255" s="75"/>
      <c r="O255" s="76"/>
    </row>
    <row r="256" ht="15.75" customHeight="1">
      <c r="E256" s="77"/>
      <c r="K256" s="75"/>
      <c r="L256" s="76"/>
      <c r="M256" s="75"/>
      <c r="N256" s="75"/>
      <c r="O256" s="76"/>
    </row>
    <row r="257" ht="15.75" customHeight="1">
      <c r="E257" s="77"/>
      <c r="K257" s="75"/>
      <c r="L257" s="76"/>
      <c r="M257" s="75"/>
      <c r="N257" s="75"/>
      <c r="O257" s="76"/>
    </row>
    <row r="258" ht="15.75" customHeight="1">
      <c r="E258" s="77"/>
      <c r="K258" s="75"/>
      <c r="L258" s="76"/>
      <c r="M258" s="75"/>
      <c r="N258" s="75"/>
      <c r="O258" s="76"/>
    </row>
    <row r="259" ht="15.75" customHeight="1">
      <c r="E259" s="77"/>
      <c r="K259" s="75"/>
      <c r="L259" s="76"/>
      <c r="M259" s="75"/>
      <c r="N259" s="75"/>
      <c r="O259" s="76"/>
    </row>
    <row r="260" ht="15.75" customHeight="1">
      <c r="E260" s="77"/>
      <c r="K260" s="75"/>
      <c r="L260" s="76"/>
      <c r="M260" s="75"/>
      <c r="N260" s="75"/>
      <c r="O260" s="76"/>
    </row>
    <row r="261" ht="15.75" customHeight="1">
      <c r="E261" s="77"/>
      <c r="K261" s="75"/>
      <c r="L261" s="76"/>
      <c r="M261" s="75"/>
      <c r="N261" s="75"/>
      <c r="O261" s="76"/>
    </row>
    <row r="262" ht="15.75" customHeight="1">
      <c r="E262" s="77"/>
      <c r="K262" s="75"/>
      <c r="L262" s="76"/>
      <c r="M262" s="75"/>
      <c r="N262" s="75"/>
      <c r="O262" s="76"/>
    </row>
    <row r="263" ht="15.75" customHeight="1">
      <c r="E263" s="77"/>
      <c r="K263" s="75"/>
      <c r="L263" s="76"/>
      <c r="M263" s="75"/>
      <c r="N263" s="75"/>
      <c r="O263" s="76"/>
    </row>
    <row r="264" ht="15.75" customHeight="1">
      <c r="E264" s="77"/>
      <c r="K264" s="75"/>
      <c r="L264" s="76"/>
      <c r="M264" s="75"/>
      <c r="N264" s="75"/>
      <c r="O264" s="76"/>
    </row>
    <row r="265" ht="15.75" customHeight="1">
      <c r="E265" s="77"/>
      <c r="K265" s="75"/>
      <c r="L265" s="76"/>
      <c r="M265" s="75"/>
      <c r="N265" s="75"/>
      <c r="O265" s="76"/>
    </row>
    <row r="266" ht="15.75" customHeight="1">
      <c r="E266" s="77"/>
      <c r="K266" s="75"/>
      <c r="L266" s="76"/>
      <c r="M266" s="75"/>
      <c r="N266" s="75"/>
      <c r="O266" s="76"/>
    </row>
    <row r="267" ht="15.75" customHeight="1">
      <c r="E267" s="77"/>
      <c r="K267" s="75"/>
      <c r="L267" s="76"/>
      <c r="M267" s="75"/>
      <c r="N267" s="75"/>
      <c r="O267" s="76"/>
    </row>
    <row r="268" ht="15.75" customHeight="1">
      <c r="E268" s="77"/>
      <c r="K268" s="75"/>
      <c r="L268" s="76"/>
      <c r="M268" s="75"/>
      <c r="N268" s="75"/>
      <c r="O268" s="76"/>
    </row>
    <row r="269" ht="15.75" customHeight="1">
      <c r="E269" s="77"/>
      <c r="K269" s="75"/>
      <c r="L269" s="76"/>
      <c r="M269" s="75"/>
      <c r="N269" s="75"/>
      <c r="O269" s="76"/>
    </row>
    <row r="270" ht="15.75" customHeight="1">
      <c r="E270" s="77"/>
      <c r="K270" s="75"/>
      <c r="L270" s="76"/>
      <c r="M270" s="75"/>
      <c r="N270" s="75"/>
      <c r="O270" s="76"/>
    </row>
    <row r="271" ht="15.75" customHeight="1">
      <c r="E271" s="77"/>
      <c r="K271" s="75"/>
      <c r="L271" s="76"/>
      <c r="M271" s="75"/>
      <c r="N271" s="75"/>
      <c r="O271" s="76"/>
    </row>
    <row r="272" ht="15.75" customHeight="1">
      <c r="E272" s="77"/>
      <c r="K272" s="75"/>
      <c r="L272" s="76"/>
      <c r="M272" s="75"/>
      <c r="N272" s="75"/>
      <c r="O272" s="76"/>
    </row>
    <row r="273" ht="15.75" customHeight="1">
      <c r="E273" s="77"/>
      <c r="K273" s="75"/>
      <c r="L273" s="76"/>
      <c r="M273" s="75"/>
      <c r="N273" s="75"/>
      <c r="O273" s="76"/>
    </row>
    <row r="274" ht="15.75" customHeight="1">
      <c r="E274" s="77"/>
      <c r="K274" s="75"/>
      <c r="L274" s="76"/>
      <c r="M274" s="75"/>
      <c r="N274" s="75"/>
      <c r="O274" s="76"/>
    </row>
    <row r="275" ht="15.75" customHeight="1">
      <c r="E275" s="77"/>
      <c r="K275" s="75"/>
      <c r="L275" s="76"/>
      <c r="M275" s="75"/>
      <c r="N275" s="75"/>
      <c r="O275" s="76"/>
    </row>
    <row r="276" ht="15.75" customHeight="1">
      <c r="E276" s="77"/>
      <c r="K276" s="75"/>
      <c r="L276" s="76"/>
      <c r="M276" s="75"/>
      <c r="N276" s="75"/>
      <c r="O276" s="76"/>
    </row>
    <row r="277" ht="15.75" customHeight="1">
      <c r="E277" s="77"/>
      <c r="K277" s="75"/>
      <c r="L277" s="76"/>
      <c r="M277" s="75"/>
      <c r="N277" s="75"/>
      <c r="O277" s="76"/>
    </row>
    <row r="278" ht="15.75" customHeight="1">
      <c r="E278" s="77"/>
      <c r="K278" s="75"/>
      <c r="L278" s="76"/>
      <c r="M278" s="75"/>
      <c r="N278" s="75"/>
      <c r="O278" s="76"/>
    </row>
    <row r="279" ht="15.75" customHeight="1">
      <c r="E279" s="77"/>
      <c r="K279" s="75"/>
      <c r="L279" s="76"/>
      <c r="M279" s="75"/>
      <c r="N279" s="75"/>
      <c r="O279" s="76"/>
    </row>
    <row r="280" ht="15.75" customHeight="1">
      <c r="E280" s="77"/>
      <c r="K280" s="75"/>
      <c r="L280" s="76"/>
      <c r="M280" s="75"/>
      <c r="N280" s="75"/>
      <c r="O280" s="76"/>
    </row>
    <row r="281" ht="15.75" customHeight="1">
      <c r="E281" s="77"/>
      <c r="K281" s="75"/>
      <c r="L281" s="76"/>
      <c r="M281" s="75"/>
      <c r="N281" s="75"/>
      <c r="O281" s="76"/>
    </row>
    <row r="282" ht="15.75" customHeight="1">
      <c r="E282" s="77"/>
      <c r="K282" s="75"/>
      <c r="L282" s="76"/>
      <c r="M282" s="75"/>
      <c r="N282" s="75"/>
      <c r="O282" s="76"/>
    </row>
    <row r="283" ht="15.75" customHeight="1">
      <c r="E283" s="77"/>
      <c r="K283" s="75"/>
      <c r="L283" s="76"/>
      <c r="M283" s="75"/>
      <c r="N283" s="75"/>
      <c r="O283" s="76"/>
    </row>
    <row r="284" ht="15.75" customHeight="1">
      <c r="E284" s="77"/>
      <c r="K284" s="75"/>
      <c r="L284" s="76"/>
      <c r="M284" s="75"/>
      <c r="N284" s="75"/>
      <c r="O284" s="76"/>
    </row>
    <row r="285" ht="15.75" customHeight="1">
      <c r="E285" s="77"/>
      <c r="K285" s="75"/>
      <c r="L285" s="76"/>
      <c r="M285" s="75"/>
      <c r="N285" s="75"/>
      <c r="O285" s="76"/>
    </row>
    <row r="286" ht="15.75" customHeight="1">
      <c r="E286" s="77"/>
      <c r="K286" s="75"/>
      <c r="L286" s="76"/>
      <c r="M286" s="75"/>
      <c r="N286" s="75"/>
      <c r="O286" s="76"/>
    </row>
    <row r="287" ht="15.75" customHeight="1">
      <c r="E287" s="77"/>
      <c r="K287" s="75"/>
      <c r="L287" s="76"/>
      <c r="M287" s="75"/>
      <c r="N287" s="75"/>
      <c r="O287" s="76"/>
    </row>
    <row r="288" ht="15.75" customHeight="1">
      <c r="E288" s="77"/>
      <c r="K288" s="75"/>
      <c r="L288" s="76"/>
      <c r="M288" s="75"/>
      <c r="N288" s="75"/>
      <c r="O288" s="76"/>
    </row>
    <row r="289" ht="15.75" customHeight="1">
      <c r="E289" s="77"/>
      <c r="K289" s="75"/>
      <c r="L289" s="76"/>
      <c r="M289" s="75"/>
      <c r="N289" s="75"/>
      <c r="O289" s="76"/>
    </row>
    <row r="290" ht="15.75" customHeight="1">
      <c r="E290" s="77"/>
      <c r="K290" s="75"/>
      <c r="L290" s="76"/>
      <c r="M290" s="75"/>
      <c r="N290" s="75"/>
      <c r="O290" s="76"/>
    </row>
    <row r="291" ht="15.75" customHeight="1">
      <c r="E291" s="77"/>
      <c r="K291" s="75"/>
      <c r="L291" s="76"/>
      <c r="M291" s="75"/>
      <c r="N291" s="75"/>
      <c r="O291" s="76"/>
    </row>
    <row r="292" ht="15.75" customHeight="1">
      <c r="E292" s="77"/>
      <c r="K292" s="75"/>
      <c r="L292" s="76"/>
      <c r="M292" s="75"/>
      <c r="N292" s="75"/>
      <c r="O292" s="76"/>
    </row>
    <row r="293" ht="15.75" customHeight="1">
      <c r="E293" s="77"/>
      <c r="K293" s="75"/>
      <c r="L293" s="76"/>
      <c r="M293" s="75"/>
      <c r="N293" s="75"/>
      <c r="O293" s="76"/>
    </row>
    <row r="294" ht="15.75" customHeight="1">
      <c r="E294" s="77"/>
      <c r="K294" s="75"/>
      <c r="L294" s="76"/>
      <c r="M294" s="75"/>
      <c r="N294" s="75"/>
      <c r="O294" s="76"/>
    </row>
    <row r="295" ht="15.75" customHeight="1">
      <c r="E295" s="77"/>
      <c r="K295" s="75"/>
      <c r="L295" s="76"/>
      <c r="M295" s="75"/>
      <c r="N295" s="75"/>
      <c r="O295" s="76"/>
    </row>
    <row r="296" ht="15.75" customHeight="1">
      <c r="E296" s="77"/>
      <c r="K296" s="75"/>
      <c r="L296" s="76"/>
      <c r="M296" s="75"/>
      <c r="N296" s="75"/>
      <c r="O296" s="76"/>
    </row>
    <row r="297" ht="15.75" customHeight="1">
      <c r="E297" s="77"/>
      <c r="K297" s="75"/>
      <c r="L297" s="76"/>
      <c r="M297" s="75"/>
      <c r="N297" s="75"/>
      <c r="O297" s="76"/>
    </row>
    <row r="298" ht="15.75" customHeight="1">
      <c r="E298" s="77"/>
      <c r="K298" s="75"/>
      <c r="L298" s="76"/>
      <c r="M298" s="75"/>
      <c r="N298" s="75"/>
      <c r="O298" s="76"/>
    </row>
    <row r="299" ht="15.75" customHeight="1">
      <c r="E299" s="77"/>
      <c r="K299" s="75"/>
      <c r="L299" s="76"/>
      <c r="M299" s="75"/>
      <c r="N299" s="75"/>
      <c r="O299" s="76"/>
    </row>
    <row r="300" ht="15.75" customHeight="1">
      <c r="E300" s="77"/>
      <c r="K300" s="75"/>
      <c r="L300" s="76"/>
      <c r="M300" s="75"/>
      <c r="N300" s="75"/>
      <c r="O300" s="76"/>
    </row>
    <row r="301" ht="15.75" customHeight="1">
      <c r="E301" s="77"/>
      <c r="K301" s="75"/>
      <c r="L301" s="76"/>
      <c r="M301" s="75"/>
      <c r="N301" s="75"/>
      <c r="O301" s="76"/>
    </row>
    <row r="302" ht="15.75" customHeight="1">
      <c r="E302" s="77"/>
      <c r="K302" s="75"/>
      <c r="L302" s="76"/>
      <c r="M302" s="75"/>
      <c r="N302" s="75"/>
      <c r="O302" s="76"/>
    </row>
    <row r="303" ht="15.75" customHeight="1">
      <c r="E303" s="77"/>
      <c r="K303" s="75"/>
      <c r="L303" s="76"/>
      <c r="M303" s="75"/>
      <c r="N303" s="75"/>
      <c r="O303" s="76"/>
    </row>
    <row r="304" ht="15.75" customHeight="1">
      <c r="E304" s="77"/>
      <c r="K304" s="75"/>
      <c r="L304" s="76"/>
      <c r="M304" s="75"/>
      <c r="N304" s="75"/>
      <c r="O304" s="76"/>
    </row>
    <row r="305" ht="15.75" customHeight="1">
      <c r="E305" s="77"/>
      <c r="K305" s="75"/>
      <c r="L305" s="76"/>
      <c r="M305" s="75"/>
      <c r="N305" s="75"/>
      <c r="O305" s="76"/>
    </row>
    <row r="306" ht="15.75" customHeight="1">
      <c r="E306" s="77"/>
      <c r="K306" s="75"/>
      <c r="L306" s="76"/>
      <c r="M306" s="75"/>
      <c r="N306" s="75"/>
      <c r="O306" s="76"/>
    </row>
    <row r="307" ht="15.75" customHeight="1">
      <c r="E307" s="77"/>
      <c r="K307" s="75"/>
      <c r="L307" s="76"/>
      <c r="M307" s="75"/>
      <c r="N307" s="75"/>
      <c r="O307" s="76"/>
    </row>
    <row r="308" ht="15.75" customHeight="1">
      <c r="E308" s="77"/>
      <c r="K308" s="75"/>
      <c r="L308" s="76"/>
      <c r="M308" s="75"/>
      <c r="N308" s="75"/>
      <c r="O308" s="76"/>
    </row>
    <row r="309" ht="15.75" customHeight="1">
      <c r="E309" s="77"/>
      <c r="K309" s="75"/>
      <c r="L309" s="76"/>
      <c r="M309" s="75"/>
      <c r="N309" s="75"/>
      <c r="O309" s="76"/>
    </row>
    <row r="310" ht="15.75" customHeight="1">
      <c r="E310" s="77"/>
      <c r="K310" s="75"/>
      <c r="L310" s="76"/>
      <c r="M310" s="75"/>
      <c r="N310" s="75"/>
      <c r="O310" s="76"/>
    </row>
    <row r="311" ht="15.75" customHeight="1">
      <c r="E311" s="77"/>
      <c r="K311" s="75"/>
      <c r="L311" s="76"/>
      <c r="M311" s="75"/>
      <c r="N311" s="75"/>
      <c r="O311" s="76"/>
    </row>
    <row r="312" ht="15.75" customHeight="1">
      <c r="E312" s="77"/>
      <c r="K312" s="75"/>
      <c r="L312" s="76"/>
      <c r="M312" s="75"/>
      <c r="N312" s="75"/>
      <c r="O312" s="76"/>
    </row>
    <row r="313" ht="15.75" customHeight="1">
      <c r="E313" s="77"/>
      <c r="K313" s="75"/>
      <c r="L313" s="76"/>
      <c r="M313" s="75"/>
      <c r="N313" s="75"/>
      <c r="O313" s="76"/>
    </row>
    <row r="314" ht="15.75" customHeight="1">
      <c r="E314" s="77"/>
      <c r="K314" s="75"/>
      <c r="L314" s="76"/>
      <c r="M314" s="75"/>
      <c r="N314" s="75"/>
      <c r="O314" s="76"/>
    </row>
    <row r="315" ht="15.75" customHeight="1">
      <c r="E315" s="77"/>
      <c r="K315" s="75"/>
      <c r="L315" s="76"/>
      <c r="M315" s="75"/>
      <c r="N315" s="75"/>
      <c r="O315" s="76"/>
    </row>
    <row r="316" ht="15.75" customHeight="1">
      <c r="E316" s="77"/>
      <c r="K316" s="75"/>
      <c r="L316" s="76"/>
      <c r="M316" s="75"/>
      <c r="N316" s="75"/>
      <c r="O316" s="76"/>
    </row>
    <row r="317" ht="15.75" customHeight="1">
      <c r="E317" s="77"/>
      <c r="K317" s="75"/>
      <c r="L317" s="76"/>
      <c r="M317" s="75"/>
      <c r="N317" s="75"/>
      <c r="O317" s="76"/>
    </row>
    <row r="318" ht="15.75" customHeight="1">
      <c r="E318" s="77"/>
      <c r="K318" s="75"/>
      <c r="L318" s="76"/>
      <c r="M318" s="75"/>
      <c r="N318" s="75"/>
      <c r="O318" s="76"/>
    </row>
    <row r="319" ht="15.75" customHeight="1">
      <c r="E319" s="77"/>
      <c r="K319" s="75"/>
      <c r="L319" s="76"/>
      <c r="M319" s="75"/>
      <c r="N319" s="75"/>
      <c r="O319" s="76"/>
    </row>
    <row r="320" ht="15.75" customHeight="1">
      <c r="E320" s="77"/>
      <c r="K320" s="75"/>
      <c r="L320" s="76"/>
      <c r="M320" s="75"/>
      <c r="N320" s="75"/>
      <c r="O320" s="76"/>
    </row>
    <row r="321" ht="15.75" customHeight="1">
      <c r="E321" s="77"/>
      <c r="K321" s="75"/>
      <c r="L321" s="76"/>
      <c r="M321" s="75"/>
      <c r="N321" s="75"/>
      <c r="O321" s="76"/>
    </row>
    <row r="322" ht="15.75" customHeight="1">
      <c r="E322" s="77"/>
      <c r="K322" s="75"/>
      <c r="L322" s="76"/>
      <c r="M322" s="75"/>
      <c r="N322" s="75"/>
      <c r="O322" s="76"/>
    </row>
    <row r="323" ht="15.75" customHeight="1">
      <c r="E323" s="77"/>
      <c r="K323" s="75"/>
      <c r="L323" s="76"/>
      <c r="M323" s="75"/>
      <c r="N323" s="75"/>
      <c r="O323" s="76"/>
    </row>
    <row r="324" ht="15.75" customHeight="1">
      <c r="E324" s="77"/>
      <c r="K324" s="75"/>
      <c r="L324" s="76"/>
      <c r="M324" s="75"/>
      <c r="N324" s="75"/>
      <c r="O324" s="76"/>
    </row>
    <row r="325" ht="15.75" customHeight="1">
      <c r="E325" s="77"/>
      <c r="K325" s="75"/>
      <c r="L325" s="76"/>
      <c r="M325" s="75"/>
      <c r="N325" s="75"/>
      <c r="O325" s="76"/>
    </row>
    <row r="326" ht="15.75" customHeight="1">
      <c r="E326" s="77"/>
      <c r="K326" s="75"/>
      <c r="L326" s="76"/>
      <c r="M326" s="75"/>
      <c r="N326" s="75"/>
      <c r="O326" s="76"/>
    </row>
    <row r="327" ht="15.75" customHeight="1">
      <c r="E327" s="77"/>
      <c r="K327" s="75"/>
      <c r="L327" s="76"/>
      <c r="M327" s="75"/>
      <c r="N327" s="75"/>
      <c r="O327" s="76"/>
    </row>
    <row r="328" ht="15.75" customHeight="1">
      <c r="E328" s="77"/>
      <c r="K328" s="75"/>
      <c r="L328" s="76"/>
      <c r="M328" s="75"/>
      <c r="N328" s="75"/>
      <c r="O328" s="76"/>
    </row>
    <row r="329" ht="15.75" customHeight="1">
      <c r="E329" s="77"/>
      <c r="K329" s="75"/>
      <c r="L329" s="76"/>
      <c r="M329" s="75"/>
      <c r="N329" s="75"/>
      <c r="O329" s="76"/>
    </row>
    <row r="330" ht="15.75" customHeight="1">
      <c r="E330" s="77"/>
      <c r="K330" s="75"/>
      <c r="L330" s="76"/>
      <c r="M330" s="75"/>
      <c r="N330" s="75"/>
      <c r="O330" s="76"/>
    </row>
    <row r="331" ht="15.75" customHeight="1">
      <c r="E331" s="77"/>
      <c r="K331" s="75"/>
      <c r="L331" s="76"/>
      <c r="M331" s="75"/>
      <c r="N331" s="75"/>
      <c r="O331" s="76"/>
    </row>
    <row r="332" ht="15.75" customHeight="1">
      <c r="E332" s="77"/>
      <c r="K332" s="75"/>
      <c r="L332" s="76"/>
      <c r="M332" s="75"/>
      <c r="N332" s="75"/>
      <c r="O332" s="76"/>
    </row>
    <row r="333" ht="15.75" customHeight="1">
      <c r="E333" s="77"/>
      <c r="K333" s="75"/>
      <c r="L333" s="76"/>
      <c r="M333" s="75"/>
      <c r="N333" s="75"/>
      <c r="O333" s="76"/>
    </row>
    <row r="334" ht="15.75" customHeight="1">
      <c r="E334" s="77"/>
      <c r="K334" s="75"/>
      <c r="L334" s="76"/>
      <c r="M334" s="75"/>
      <c r="N334" s="75"/>
      <c r="O334" s="76"/>
    </row>
    <row r="335" ht="15.75" customHeight="1">
      <c r="E335" s="77"/>
      <c r="K335" s="75"/>
      <c r="L335" s="76"/>
      <c r="M335" s="75"/>
      <c r="N335" s="75"/>
      <c r="O335" s="76"/>
    </row>
    <row r="336" ht="15.75" customHeight="1">
      <c r="E336" s="77"/>
      <c r="K336" s="75"/>
      <c r="L336" s="76"/>
      <c r="M336" s="75"/>
      <c r="N336" s="75"/>
      <c r="O336" s="76"/>
    </row>
    <row r="337" ht="15.75" customHeight="1">
      <c r="E337" s="77"/>
      <c r="K337" s="75"/>
      <c r="L337" s="76"/>
      <c r="M337" s="75"/>
      <c r="N337" s="75"/>
      <c r="O337" s="76"/>
    </row>
    <row r="338" ht="15.75" customHeight="1">
      <c r="E338" s="77"/>
      <c r="K338" s="75"/>
      <c r="L338" s="76"/>
      <c r="M338" s="75"/>
      <c r="N338" s="75"/>
      <c r="O338" s="76"/>
    </row>
    <row r="339" ht="15.75" customHeight="1">
      <c r="E339" s="77"/>
      <c r="K339" s="75"/>
      <c r="L339" s="76"/>
      <c r="M339" s="75"/>
      <c r="N339" s="75"/>
      <c r="O339" s="76"/>
    </row>
    <row r="340" ht="15.75" customHeight="1">
      <c r="E340" s="77"/>
      <c r="K340" s="75"/>
      <c r="L340" s="76"/>
      <c r="M340" s="75"/>
      <c r="N340" s="75"/>
      <c r="O340" s="76"/>
    </row>
    <row r="341" ht="15.75" customHeight="1">
      <c r="E341" s="77"/>
      <c r="K341" s="75"/>
      <c r="L341" s="76"/>
      <c r="M341" s="75"/>
      <c r="N341" s="75"/>
      <c r="O341" s="76"/>
    </row>
    <row r="342" ht="15.75" customHeight="1">
      <c r="E342" s="77"/>
      <c r="K342" s="75"/>
      <c r="L342" s="76"/>
      <c r="M342" s="75"/>
      <c r="N342" s="75"/>
      <c r="O342" s="76"/>
    </row>
    <row r="343" ht="15.75" customHeight="1">
      <c r="E343" s="77"/>
      <c r="K343" s="75"/>
      <c r="L343" s="76"/>
      <c r="M343" s="75"/>
      <c r="N343" s="75"/>
      <c r="O343" s="76"/>
    </row>
    <row r="344" ht="15.75" customHeight="1">
      <c r="E344" s="77"/>
      <c r="K344" s="75"/>
      <c r="L344" s="76"/>
      <c r="M344" s="75"/>
      <c r="N344" s="75"/>
      <c r="O344" s="76"/>
    </row>
    <row r="345" ht="15.75" customHeight="1">
      <c r="E345" s="77"/>
      <c r="K345" s="75"/>
      <c r="L345" s="76"/>
      <c r="M345" s="75"/>
      <c r="N345" s="75"/>
      <c r="O345" s="76"/>
    </row>
    <row r="346" ht="15.75" customHeight="1">
      <c r="E346" s="77"/>
      <c r="K346" s="75"/>
      <c r="L346" s="76"/>
      <c r="M346" s="75"/>
      <c r="N346" s="75"/>
      <c r="O346" s="76"/>
    </row>
    <row r="347" ht="15.75" customHeight="1">
      <c r="E347" s="77"/>
      <c r="K347" s="75"/>
      <c r="L347" s="76"/>
      <c r="M347" s="75"/>
      <c r="N347" s="75"/>
      <c r="O347" s="76"/>
    </row>
    <row r="348" ht="15.75" customHeight="1">
      <c r="E348" s="77"/>
      <c r="K348" s="75"/>
      <c r="L348" s="76"/>
      <c r="M348" s="75"/>
      <c r="N348" s="75"/>
      <c r="O348" s="76"/>
    </row>
    <row r="349" ht="15.75" customHeight="1">
      <c r="E349" s="77"/>
      <c r="K349" s="75"/>
      <c r="L349" s="76"/>
      <c r="M349" s="75"/>
      <c r="N349" s="75"/>
      <c r="O349" s="76"/>
    </row>
    <row r="350" ht="15.75" customHeight="1">
      <c r="E350" s="77"/>
      <c r="K350" s="75"/>
      <c r="L350" s="76"/>
      <c r="M350" s="75"/>
      <c r="N350" s="75"/>
      <c r="O350" s="76"/>
    </row>
    <row r="351" ht="15.75" customHeight="1">
      <c r="E351" s="77"/>
      <c r="K351" s="75"/>
      <c r="L351" s="76"/>
      <c r="M351" s="75"/>
      <c r="N351" s="75"/>
      <c r="O351" s="76"/>
    </row>
    <row r="352" ht="15.75" customHeight="1">
      <c r="E352" s="77"/>
      <c r="K352" s="75"/>
      <c r="L352" s="76"/>
      <c r="M352" s="75"/>
      <c r="N352" s="75"/>
      <c r="O352" s="76"/>
    </row>
    <row r="353" ht="15.75" customHeight="1">
      <c r="E353" s="77"/>
      <c r="K353" s="75"/>
      <c r="L353" s="76"/>
      <c r="M353" s="75"/>
      <c r="N353" s="75"/>
      <c r="O353" s="76"/>
    </row>
    <row r="354" ht="15.75" customHeight="1">
      <c r="E354" s="77"/>
      <c r="K354" s="75"/>
      <c r="L354" s="76"/>
      <c r="M354" s="75"/>
      <c r="N354" s="75"/>
      <c r="O354" s="76"/>
    </row>
    <row r="355" ht="15.75" customHeight="1">
      <c r="E355" s="77"/>
      <c r="K355" s="75"/>
      <c r="L355" s="76"/>
      <c r="M355" s="75"/>
      <c r="N355" s="75"/>
      <c r="O355" s="76"/>
    </row>
    <row r="356" ht="15.75" customHeight="1">
      <c r="E356" s="77"/>
      <c r="K356" s="75"/>
      <c r="L356" s="76"/>
      <c r="M356" s="75"/>
      <c r="N356" s="75"/>
      <c r="O356" s="76"/>
    </row>
    <row r="357" ht="15.75" customHeight="1">
      <c r="E357" s="77"/>
      <c r="K357" s="75"/>
      <c r="L357" s="76"/>
      <c r="M357" s="75"/>
      <c r="N357" s="75"/>
      <c r="O357" s="76"/>
    </row>
    <row r="358" ht="15.75" customHeight="1">
      <c r="E358" s="77"/>
      <c r="K358" s="75"/>
      <c r="L358" s="76"/>
      <c r="M358" s="75"/>
      <c r="N358" s="75"/>
      <c r="O358" s="76"/>
    </row>
    <row r="359" ht="15.75" customHeight="1">
      <c r="E359" s="77"/>
      <c r="K359" s="75"/>
      <c r="L359" s="76"/>
      <c r="M359" s="75"/>
      <c r="N359" s="75"/>
      <c r="O359" s="76"/>
    </row>
    <row r="360" ht="15.75" customHeight="1">
      <c r="E360" s="77"/>
      <c r="K360" s="75"/>
      <c r="L360" s="76"/>
      <c r="M360" s="75"/>
      <c r="N360" s="75"/>
      <c r="O360" s="76"/>
    </row>
    <row r="361" ht="15.75" customHeight="1">
      <c r="E361" s="77"/>
      <c r="K361" s="75"/>
      <c r="L361" s="76"/>
      <c r="M361" s="75"/>
      <c r="N361" s="75"/>
      <c r="O361" s="76"/>
    </row>
    <row r="362" ht="15.75" customHeight="1">
      <c r="E362" s="77"/>
      <c r="K362" s="75"/>
      <c r="L362" s="76"/>
      <c r="M362" s="75"/>
      <c r="N362" s="75"/>
      <c r="O362" s="76"/>
    </row>
    <row r="363" ht="15.75" customHeight="1">
      <c r="E363" s="77"/>
      <c r="K363" s="75"/>
      <c r="L363" s="76"/>
      <c r="M363" s="75"/>
      <c r="N363" s="75"/>
      <c r="O363" s="76"/>
    </row>
    <row r="364" ht="15.75" customHeight="1">
      <c r="E364" s="77"/>
      <c r="K364" s="75"/>
      <c r="L364" s="76"/>
      <c r="M364" s="75"/>
      <c r="N364" s="75"/>
      <c r="O364" s="76"/>
    </row>
    <row r="365" ht="15.75" customHeight="1">
      <c r="E365" s="77"/>
      <c r="K365" s="75"/>
      <c r="L365" s="76"/>
      <c r="M365" s="75"/>
      <c r="N365" s="75"/>
      <c r="O365" s="76"/>
    </row>
    <row r="366" ht="15.75" customHeight="1">
      <c r="E366" s="77"/>
      <c r="K366" s="75"/>
      <c r="L366" s="76"/>
      <c r="M366" s="75"/>
      <c r="N366" s="75"/>
      <c r="O366" s="76"/>
    </row>
    <row r="367" ht="15.75" customHeight="1">
      <c r="E367" s="77"/>
      <c r="K367" s="75"/>
      <c r="L367" s="76"/>
      <c r="M367" s="75"/>
      <c r="N367" s="75"/>
      <c r="O367" s="76"/>
    </row>
    <row r="368" ht="15.75" customHeight="1">
      <c r="E368" s="77"/>
      <c r="K368" s="75"/>
      <c r="L368" s="76"/>
      <c r="M368" s="75"/>
      <c r="N368" s="75"/>
      <c r="O368" s="76"/>
    </row>
    <row r="369" ht="15.75" customHeight="1">
      <c r="E369" s="77"/>
      <c r="K369" s="75"/>
      <c r="L369" s="76"/>
      <c r="M369" s="75"/>
      <c r="N369" s="75"/>
      <c r="O369" s="76"/>
    </row>
    <row r="370" ht="15.75" customHeight="1">
      <c r="E370" s="77"/>
      <c r="K370" s="75"/>
      <c r="L370" s="76"/>
      <c r="M370" s="75"/>
      <c r="N370" s="75"/>
      <c r="O370" s="76"/>
    </row>
    <row r="371" ht="15.75" customHeight="1">
      <c r="E371" s="77"/>
      <c r="K371" s="75"/>
      <c r="L371" s="76"/>
      <c r="M371" s="75"/>
      <c r="N371" s="75"/>
      <c r="O371" s="76"/>
    </row>
    <row r="372" ht="15.75" customHeight="1">
      <c r="E372" s="77"/>
      <c r="K372" s="75"/>
      <c r="L372" s="76"/>
      <c r="M372" s="75"/>
      <c r="N372" s="75"/>
      <c r="O372" s="76"/>
    </row>
    <row r="373" ht="15.75" customHeight="1">
      <c r="E373" s="77"/>
      <c r="K373" s="75"/>
      <c r="L373" s="76"/>
      <c r="M373" s="75"/>
      <c r="N373" s="75"/>
      <c r="O373" s="76"/>
    </row>
    <row r="374" ht="15.75" customHeight="1">
      <c r="E374" s="77"/>
      <c r="K374" s="75"/>
      <c r="L374" s="76"/>
      <c r="M374" s="75"/>
      <c r="N374" s="75"/>
      <c r="O374" s="76"/>
    </row>
    <row r="375" ht="15.75" customHeight="1">
      <c r="E375" s="77"/>
      <c r="K375" s="75"/>
      <c r="L375" s="76"/>
      <c r="M375" s="75"/>
      <c r="N375" s="75"/>
      <c r="O375" s="76"/>
    </row>
    <row r="376" ht="15.75" customHeight="1">
      <c r="E376" s="77"/>
      <c r="K376" s="75"/>
      <c r="L376" s="76"/>
      <c r="M376" s="75"/>
      <c r="N376" s="75"/>
      <c r="O376" s="76"/>
    </row>
    <row r="377" ht="15.75" customHeight="1">
      <c r="E377" s="77"/>
      <c r="K377" s="75"/>
      <c r="L377" s="76"/>
      <c r="M377" s="75"/>
      <c r="N377" s="75"/>
      <c r="O377" s="76"/>
    </row>
    <row r="378" ht="15.75" customHeight="1">
      <c r="E378" s="77"/>
      <c r="K378" s="75"/>
      <c r="L378" s="76"/>
      <c r="M378" s="75"/>
      <c r="N378" s="75"/>
      <c r="O378" s="76"/>
    </row>
    <row r="379" ht="15.75" customHeight="1">
      <c r="E379" s="77"/>
      <c r="K379" s="75"/>
      <c r="L379" s="76"/>
      <c r="M379" s="75"/>
      <c r="N379" s="75"/>
      <c r="O379" s="76"/>
    </row>
    <row r="380" ht="15.75" customHeight="1">
      <c r="E380" s="77"/>
      <c r="K380" s="75"/>
      <c r="L380" s="76"/>
      <c r="M380" s="75"/>
      <c r="N380" s="75"/>
      <c r="O380" s="76"/>
    </row>
    <row r="381" ht="15.75" customHeight="1">
      <c r="E381" s="77"/>
      <c r="K381" s="75"/>
      <c r="L381" s="76"/>
      <c r="M381" s="75"/>
      <c r="N381" s="75"/>
      <c r="O381" s="76"/>
    </row>
    <row r="382" ht="15.75" customHeight="1">
      <c r="E382" s="77"/>
      <c r="K382" s="75"/>
      <c r="L382" s="76"/>
      <c r="M382" s="75"/>
      <c r="N382" s="75"/>
      <c r="O382" s="76"/>
    </row>
    <row r="383" ht="15.75" customHeight="1">
      <c r="E383" s="77"/>
      <c r="K383" s="75"/>
      <c r="L383" s="76"/>
      <c r="M383" s="75"/>
      <c r="N383" s="75"/>
      <c r="O383" s="76"/>
    </row>
    <row r="384" ht="15.75" customHeight="1">
      <c r="E384" s="77"/>
      <c r="K384" s="75"/>
      <c r="L384" s="76"/>
      <c r="M384" s="75"/>
      <c r="N384" s="75"/>
      <c r="O384" s="76"/>
    </row>
    <row r="385" ht="15.75" customHeight="1">
      <c r="E385" s="77"/>
      <c r="K385" s="75"/>
      <c r="L385" s="76"/>
      <c r="M385" s="75"/>
      <c r="N385" s="75"/>
      <c r="O385" s="76"/>
    </row>
    <row r="386" ht="15.75" customHeight="1">
      <c r="E386" s="77"/>
      <c r="K386" s="75"/>
      <c r="L386" s="76"/>
      <c r="M386" s="75"/>
      <c r="N386" s="75"/>
      <c r="O386" s="76"/>
    </row>
    <row r="387" ht="15.75" customHeight="1">
      <c r="E387" s="77"/>
      <c r="K387" s="75"/>
      <c r="L387" s="76"/>
      <c r="M387" s="75"/>
      <c r="N387" s="75"/>
      <c r="O387" s="76"/>
    </row>
    <row r="388" ht="15.75" customHeight="1">
      <c r="E388" s="77"/>
      <c r="K388" s="75"/>
      <c r="L388" s="76"/>
      <c r="M388" s="75"/>
      <c r="N388" s="75"/>
      <c r="O388" s="76"/>
    </row>
    <row r="389" ht="15.75" customHeight="1">
      <c r="E389" s="77"/>
      <c r="K389" s="75"/>
      <c r="L389" s="76"/>
      <c r="M389" s="75"/>
      <c r="N389" s="75"/>
      <c r="O389" s="76"/>
    </row>
    <row r="390" ht="15.75" customHeight="1">
      <c r="E390" s="77"/>
      <c r="K390" s="75"/>
      <c r="L390" s="76"/>
      <c r="M390" s="75"/>
      <c r="N390" s="75"/>
      <c r="O390" s="76"/>
    </row>
    <row r="391" ht="15.75" customHeight="1">
      <c r="E391" s="77"/>
      <c r="K391" s="75"/>
      <c r="L391" s="76"/>
      <c r="M391" s="75"/>
      <c r="N391" s="75"/>
      <c r="O391" s="76"/>
    </row>
    <row r="392" ht="15.75" customHeight="1">
      <c r="E392" s="77"/>
      <c r="K392" s="75"/>
      <c r="L392" s="76"/>
      <c r="M392" s="75"/>
      <c r="N392" s="75"/>
      <c r="O392" s="76"/>
    </row>
    <row r="393" ht="15.75" customHeight="1">
      <c r="E393" s="77"/>
      <c r="K393" s="75"/>
      <c r="L393" s="76"/>
      <c r="M393" s="75"/>
      <c r="N393" s="75"/>
      <c r="O393" s="76"/>
    </row>
    <row r="394" ht="15.75" customHeight="1">
      <c r="E394" s="77"/>
      <c r="K394" s="75"/>
      <c r="L394" s="76"/>
      <c r="M394" s="75"/>
      <c r="N394" s="75"/>
      <c r="O394" s="76"/>
    </row>
    <row r="395" ht="15.75" customHeight="1">
      <c r="E395" s="77"/>
      <c r="K395" s="75"/>
      <c r="L395" s="76"/>
      <c r="M395" s="75"/>
      <c r="N395" s="75"/>
      <c r="O395" s="76"/>
    </row>
    <row r="396" ht="15.75" customHeight="1">
      <c r="E396" s="77"/>
      <c r="K396" s="75"/>
      <c r="L396" s="76"/>
      <c r="M396" s="75"/>
      <c r="N396" s="75"/>
      <c r="O396" s="76"/>
    </row>
    <row r="397" ht="15.75" customHeight="1">
      <c r="E397" s="77"/>
      <c r="K397" s="75"/>
      <c r="L397" s="76"/>
      <c r="M397" s="75"/>
      <c r="N397" s="75"/>
      <c r="O397" s="76"/>
    </row>
    <row r="398" ht="15.75" customHeight="1">
      <c r="E398" s="77"/>
      <c r="K398" s="75"/>
      <c r="L398" s="76"/>
      <c r="M398" s="75"/>
      <c r="N398" s="75"/>
      <c r="O398" s="76"/>
    </row>
    <row r="399" ht="15.75" customHeight="1">
      <c r="E399" s="77"/>
      <c r="K399" s="75"/>
      <c r="L399" s="76"/>
      <c r="M399" s="75"/>
      <c r="N399" s="75"/>
      <c r="O399" s="76"/>
    </row>
    <row r="400" ht="15.75" customHeight="1">
      <c r="E400" s="77"/>
      <c r="K400" s="75"/>
      <c r="L400" s="76"/>
      <c r="M400" s="75"/>
      <c r="N400" s="75"/>
      <c r="O400" s="76"/>
    </row>
    <row r="401" ht="15.75" customHeight="1">
      <c r="E401" s="77"/>
      <c r="K401" s="75"/>
      <c r="L401" s="76"/>
      <c r="M401" s="75"/>
      <c r="N401" s="75"/>
      <c r="O401" s="76"/>
    </row>
    <row r="402" ht="15.75" customHeight="1">
      <c r="E402" s="77"/>
      <c r="K402" s="75"/>
      <c r="L402" s="76"/>
      <c r="M402" s="75"/>
      <c r="N402" s="75"/>
      <c r="O402" s="76"/>
    </row>
    <row r="403" ht="15.75" customHeight="1">
      <c r="E403" s="77"/>
      <c r="K403" s="75"/>
      <c r="L403" s="76"/>
      <c r="M403" s="75"/>
      <c r="N403" s="75"/>
      <c r="O403" s="76"/>
    </row>
    <row r="404" ht="15.75" customHeight="1">
      <c r="E404" s="77"/>
      <c r="K404" s="75"/>
      <c r="L404" s="76"/>
      <c r="M404" s="75"/>
      <c r="N404" s="75"/>
      <c r="O404" s="76"/>
    </row>
    <row r="405" ht="15.75" customHeight="1">
      <c r="E405" s="77"/>
      <c r="K405" s="75"/>
      <c r="L405" s="76"/>
      <c r="M405" s="75"/>
      <c r="N405" s="75"/>
      <c r="O405" s="76"/>
    </row>
    <row r="406" ht="15.75" customHeight="1">
      <c r="E406" s="77"/>
      <c r="K406" s="75"/>
      <c r="L406" s="76"/>
      <c r="M406" s="75"/>
      <c r="N406" s="75"/>
      <c r="O406" s="76"/>
    </row>
    <row r="407" ht="15.75" customHeight="1">
      <c r="E407" s="77"/>
      <c r="K407" s="75"/>
      <c r="L407" s="76"/>
      <c r="M407" s="75"/>
      <c r="N407" s="75"/>
      <c r="O407" s="76"/>
    </row>
    <row r="408" ht="15.75" customHeight="1">
      <c r="E408" s="77"/>
      <c r="K408" s="75"/>
      <c r="L408" s="76"/>
      <c r="M408" s="75"/>
      <c r="N408" s="75"/>
      <c r="O408" s="76"/>
    </row>
    <row r="409" ht="15.75" customHeight="1">
      <c r="E409" s="77"/>
      <c r="K409" s="75"/>
      <c r="L409" s="76"/>
      <c r="M409" s="75"/>
      <c r="N409" s="75"/>
      <c r="O409" s="76"/>
    </row>
    <row r="410" ht="15.75" customHeight="1">
      <c r="E410" s="77"/>
      <c r="K410" s="75"/>
      <c r="L410" s="76"/>
      <c r="M410" s="75"/>
      <c r="N410" s="75"/>
      <c r="O410" s="76"/>
    </row>
    <row r="411" ht="15.75" customHeight="1">
      <c r="E411" s="77"/>
      <c r="K411" s="75"/>
      <c r="L411" s="76"/>
      <c r="M411" s="75"/>
      <c r="N411" s="75"/>
      <c r="O411" s="76"/>
    </row>
    <row r="412" ht="15.75" customHeight="1">
      <c r="E412" s="77"/>
      <c r="K412" s="75"/>
      <c r="L412" s="76"/>
      <c r="M412" s="75"/>
      <c r="N412" s="75"/>
      <c r="O412" s="76"/>
    </row>
    <row r="413" ht="15.75" customHeight="1">
      <c r="E413" s="77"/>
      <c r="K413" s="75"/>
      <c r="L413" s="76"/>
      <c r="M413" s="75"/>
      <c r="N413" s="75"/>
      <c r="O413" s="76"/>
    </row>
    <row r="414" ht="15.75" customHeight="1">
      <c r="E414" s="77"/>
      <c r="K414" s="75"/>
      <c r="L414" s="76"/>
      <c r="M414" s="75"/>
      <c r="N414" s="75"/>
      <c r="O414" s="76"/>
    </row>
    <row r="415" ht="15.75" customHeight="1">
      <c r="E415" s="77"/>
      <c r="K415" s="75"/>
      <c r="L415" s="76"/>
      <c r="M415" s="75"/>
      <c r="N415" s="75"/>
      <c r="O415" s="76"/>
    </row>
    <row r="416" ht="15.75" customHeight="1">
      <c r="E416" s="77"/>
      <c r="K416" s="75"/>
      <c r="L416" s="76"/>
      <c r="M416" s="75"/>
      <c r="N416" s="75"/>
      <c r="O416" s="76"/>
    </row>
    <row r="417" ht="15.75" customHeight="1">
      <c r="E417" s="77"/>
      <c r="K417" s="75"/>
      <c r="L417" s="76"/>
      <c r="M417" s="75"/>
      <c r="N417" s="75"/>
      <c r="O417" s="76"/>
    </row>
    <row r="418" ht="15.75" customHeight="1">
      <c r="E418" s="77"/>
      <c r="K418" s="75"/>
      <c r="L418" s="76"/>
      <c r="M418" s="75"/>
      <c r="N418" s="75"/>
      <c r="O418" s="76"/>
    </row>
    <row r="419" ht="15.75" customHeight="1">
      <c r="E419" s="77"/>
      <c r="K419" s="75"/>
      <c r="L419" s="76"/>
      <c r="M419" s="75"/>
      <c r="N419" s="75"/>
      <c r="O419" s="76"/>
    </row>
    <row r="420" ht="15.75" customHeight="1">
      <c r="E420" s="77"/>
      <c r="K420" s="75"/>
      <c r="L420" s="76"/>
      <c r="M420" s="75"/>
      <c r="N420" s="75"/>
      <c r="O420" s="76"/>
    </row>
    <row r="421" ht="15.75" customHeight="1">
      <c r="E421" s="77"/>
      <c r="K421" s="75"/>
      <c r="L421" s="76"/>
      <c r="M421" s="75"/>
      <c r="N421" s="75"/>
      <c r="O421" s="76"/>
    </row>
    <row r="422" ht="15.75" customHeight="1">
      <c r="E422" s="77"/>
      <c r="K422" s="75"/>
      <c r="L422" s="76"/>
      <c r="M422" s="75"/>
      <c r="N422" s="75"/>
      <c r="O422" s="76"/>
    </row>
    <row r="423" ht="15.75" customHeight="1">
      <c r="E423" s="77"/>
      <c r="K423" s="75"/>
      <c r="L423" s="76"/>
      <c r="M423" s="75"/>
      <c r="N423" s="75"/>
      <c r="O423" s="76"/>
    </row>
    <row r="424" ht="15.75" customHeight="1">
      <c r="E424" s="77"/>
      <c r="K424" s="75"/>
      <c r="L424" s="76"/>
      <c r="M424" s="75"/>
      <c r="N424" s="75"/>
      <c r="O424" s="76"/>
    </row>
    <row r="425" ht="15.75" customHeight="1">
      <c r="E425" s="77"/>
      <c r="K425" s="75"/>
      <c r="L425" s="76"/>
      <c r="M425" s="75"/>
      <c r="N425" s="75"/>
      <c r="O425" s="76"/>
    </row>
    <row r="426" ht="15.75" customHeight="1">
      <c r="E426" s="77"/>
      <c r="K426" s="75"/>
      <c r="L426" s="76"/>
      <c r="M426" s="75"/>
      <c r="N426" s="75"/>
      <c r="O426" s="76"/>
    </row>
    <row r="427" ht="15.75" customHeight="1">
      <c r="E427" s="77"/>
      <c r="K427" s="75"/>
      <c r="L427" s="76"/>
      <c r="M427" s="75"/>
      <c r="N427" s="75"/>
      <c r="O427" s="76"/>
    </row>
    <row r="428" ht="15.75" customHeight="1">
      <c r="E428" s="77"/>
      <c r="K428" s="75"/>
      <c r="L428" s="76"/>
      <c r="M428" s="75"/>
      <c r="N428" s="75"/>
      <c r="O428" s="76"/>
    </row>
    <row r="429" ht="15.75" customHeight="1">
      <c r="E429" s="77"/>
      <c r="K429" s="75"/>
      <c r="L429" s="76"/>
      <c r="M429" s="75"/>
      <c r="N429" s="75"/>
      <c r="O429" s="76"/>
    </row>
    <row r="430" ht="15.75" customHeight="1">
      <c r="E430" s="77"/>
      <c r="K430" s="75"/>
      <c r="L430" s="76"/>
      <c r="M430" s="75"/>
      <c r="N430" s="75"/>
      <c r="O430" s="76"/>
    </row>
    <row r="431" ht="15.75" customHeight="1">
      <c r="E431" s="77"/>
      <c r="K431" s="75"/>
      <c r="L431" s="76"/>
      <c r="M431" s="75"/>
      <c r="N431" s="75"/>
      <c r="O431" s="76"/>
    </row>
    <row r="432" ht="15.75" customHeight="1">
      <c r="E432" s="77"/>
      <c r="K432" s="75"/>
      <c r="L432" s="76"/>
      <c r="M432" s="75"/>
      <c r="N432" s="75"/>
      <c r="O432" s="76"/>
    </row>
    <row r="433" ht="15.75" customHeight="1">
      <c r="E433" s="77"/>
      <c r="K433" s="75"/>
      <c r="L433" s="76"/>
      <c r="M433" s="75"/>
      <c r="N433" s="75"/>
      <c r="O433" s="76"/>
    </row>
    <row r="434" ht="15.75" customHeight="1">
      <c r="E434" s="77"/>
      <c r="K434" s="75"/>
      <c r="L434" s="76"/>
      <c r="M434" s="75"/>
      <c r="N434" s="75"/>
      <c r="O434" s="76"/>
    </row>
    <row r="435" ht="15.75" customHeight="1">
      <c r="E435" s="77"/>
      <c r="K435" s="75"/>
      <c r="L435" s="76"/>
      <c r="M435" s="75"/>
      <c r="N435" s="75"/>
      <c r="O435" s="76"/>
    </row>
    <row r="436" ht="15.75" customHeight="1">
      <c r="E436" s="77"/>
      <c r="K436" s="75"/>
      <c r="L436" s="76"/>
      <c r="M436" s="75"/>
      <c r="N436" s="75"/>
      <c r="O436" s="76"/>
    </row>
    <row r="437" ht="15.75" customHeight="1">
      <c r="E437" s="77"/>
      <c r="K437" s="75"/>
      <c r="L437" s="76"/>
      <c r="M437" s="75"/>
      <c r="N437" s="75"/>
      <c r="O437" s="76"/>
    </row>
    <row r="438" ht="15.75" customHeight="1">
      <c r="E438" s="77"/>
      <c r="K438" s="75"/>
      <c r="L438" s="76"/>
      <c r="M438" s="75"/>
      <c r="N438" s="75"/>
      <c r="O438" s="76"/>
    </row>
    <row r="439" ht="15.75" customHeight="1">
      <c r="E439" s="77"/>
      <c r="K439" s="75"/>
      <c r="L439" s="76"/>
      <c r="M439" s="75"/>
      <c r="N439" s="75"/>
      <c r="O439" s="76"/>
    </row>
    <row r="440" ht="15.75" customHeight="1">
      <c r="E440" s="77"/>
      <c r="K440" s="75"/>
      <c r="L440" s="76"/>
      <c r="M440" s="75"/>
      <c r="N440" s="75"/>
      <c r="O440" s="76"/>
    </row>
    <row r="441" ht="15.75" customHeight="1">
      <c r="E441" s="77"/>
      <c r="K441" s="75"/>
      <c r="L441" s="76"/>
      <c r="M441" s="75"/>
      <c r="N441" s="75"/>
      <c r="O441" s="76"/>
    </row>
    <row r="442" ht="15.75" customHeight="1">
      <c r="E442" s="77"/>
      <c r="K442" s="75"/>
      <c r="L442" s="76"/>
      <c r="M442" s="75"/>
      <c r="N442" s="75"/>
      <c r="O442" s="76"/>
    </row>
    <row r="443" ht="15.75" customHeight="1">
      <c r="E443" s="77"/>
      <c r="K443" s="75"/>
      <c r="L443" s="76"/>
      <c r="M443" s="75"/>
      <c r="N443" s="75"/>
      <c r="O443" s="76"/>
    </row>
    <row r="444" ht="15.75" customHeight="1">
      <c r="E444" s="77"/>
      <c r="K444" s="75"/>
      <c r="L444" s="76"/>
      <c r="M444" s="75"/>
      <c r="N444" s="75"/>
      <c r="O444" s="76"/>
    </row>
    <row r="445" ht="15.75" customHeight="1">
      <c r="E445" s="77"/>
      <c r="K445" s="75"/>
      <c r="L445" s="76"/>
      <c r="M445" s="75"/>
      <c r="N445" s="75"/>
      <c r="O445" s="76"/>
    </row>
    <row r="446" ht="15.75" customHeight="1">
      <c r="E446" s="77"/>
      <c r="K446" s="75"/>
      <c r="L446" s="76"/>
      <c r="M446" s="75"/>
      <c r="N446" s="75"/>
      <c r="O446" s="76"/>
    </row>
    <row r="447" ht="15.75" customHeight="1">
      <c r="E447" s="77"/>
      <c r="K447" s="75"/>
      <c r="L447" s="76"/>
      <c r="M447" s="75"/>
      <c r="N447" s="75"/>
      <c r="O447" s="76"/>
    </row>
    <row r="448" ht="15.75" customHeight="1">
      <c r="E448" s="77"/>
      <c r="K448" s="75"/>
      <c r="L448" s="76"/>
      <c r="M448" s="75"/>
      <c r="N448" s="75"/>
      <c r="O448" s="76"/>
    </row>
    <row r="449" ht="15.75" customHeight="1">
      <c r="E449" s="77"/>
      <c r="K449" s="75"/>
      <c r="L449" s="76"/>
      <c r="M449" s="75"/>
      <c r="N449" s="75"/>
      <c r="O449" s="76"/>
    </row>
    <row r="450" ht="15.75" customHeight="1">
      <c r="E450" s="77"/>
      <c r="K450" s="75"/>
      <c r="L450" s="76"/>
      <c r="M450" s="75"/>
      <c r="N450" s="75"/>
      <c r="O450" s="76"/>
    </row>
    <row r="451" ht="15.75" customHeight="1">
      <c r="E451" s="77"/>
      <c r="K451" s="75"/>
      <c r="L451" s="76"/>
      <c r="M451" s="75"/>
      <c r="N451" s="75"/>
      <c r="O451" s="76"/>
    </row>
    <row r="452" ht="15.75" customHeight="1">
      <c r="E452" s="77"/>
      <c r="K452" s="75"/>
      <c r="L452" s="76"/>
      <c r="M452" s="75"/>
      <c r="N452" s="75"/>
      <c r="O452" s="76"/>
    </row>
    <row r="453" ht="15.75" customHeight="1">
      <c r="E453" s="77"/>
      <c r="K453" s="75"/>
      <c r="L453" s="76"/>
      <c r="M453" s="75"/>
      <c r="N453" s="75"/>
      <c r="O453" s="76"/>
    </row>
    <row r="454" ht="15.75" customHeight="1">
      <c r="E454" s="77"/>
      <c r="K454" s="75"/>
      <c r="L454" s="76"/>
      <c r="M454" s="75"/>
      <c r="N454" s="75"/>
      <c r="O454" s="76"/>
    </row>
    <row r="455" ht="15.75" customHeight="1">
      <c r="E455" s="77"/>
      <c r="K455" s="75"/>
      <c r="L455" s="76"/>
      <c r="M455" s="75"/>
      <c r="N455" s="75"/>
      <c r="O455" s="76"/>
    </row>
    <row r="456" ht="15.75" customHeight="1">
      <c r="E456" s="77"/>
      <c r="K456" s="75"/>
      <c r="L456" s="76"/>
      <c r="M456" s="75"/>
      <c r="N456" s="75"/>
      <c r="O456" s="76"/>
    </row>
    <row r="457" ht="15.75" customHeight="1">
      <c r="E457" s="77"/>
      <c r="K457" s="75"/>
      <c r="L457" s="76"/>
      <c r="M457" s="75"/>
      <c r="N457" s="75"/>
      <c r="O457" s="76"/>
    </row>
    <row r="458" ht="15.75" customHeight="1">
      <c r="E458" s="77"/>
      <c r="K458" s="75"/>
      <c r="L458" s="76"/>
      <c r="M458" s="75"/>
      <c r="N458" s="75"/>
      <c r="O458" s="76"/>
    </row>
    <row r="459" ht="15.75" customHeight="1">
      <c r="E459" s="77"/>
      <c r="K459" s="75"/>
      <c r="L459" s="76"/>
      <c r="M459" s="75"/>
      <c r="N459" s="75"/>
      <c r="O459" s="76"/>
    </row>
    <row r="460" ht="15.75" customHeight="1">
      <c r="E460" s="77"/>
      <c r="K460" s="75"/>
      <c r="L460" s="76"/>
      <c r="M460" s="75"/>
      <c r="N460" s="75"/>
      <c r="O460" s="76"/>
    </row>
    <row r="461" ht="15.75" customHeight="1">
      <c r="E461" s="77"/>
      <c r="K461" s="75"/>
      <c r="L461" s="76"/>
      <c r="M461" s="75"/>
      <c r="N461" s="75"/>
      <c r="O461" s="76"/>
    </row>
    <row r="462" ht="15.75" customHeight="1">
      <c r="E462" s="77"/>
      <c r="K462" s="75"/>
      <c r="L462" s="76"/>
      <c r="M462" s="75"/>
      <c r="N462" s="75"/>
      <c r="O462" s="76"/>
    </row>
    <row r="463" ht="15.75" customHeight="1">
      <c r="E463" s="77"/>
      <c r="K463" s="75"/>
      <c r="L463" s="76"/>
      <c r="M463" s="75"/>
      <c r="N463" s="75"/>
      <c r="O463" s="76"/>
    </row>
    <row r="464" ht="15.75" customHeight="1">
      <c r="E464" s="77"/>
      <c r="K464" s="75"/>
      <c r="L464" s="76"/>
      <c r="M464" s="75"/>
      <c r="N464" s="75"/>
      <c r="O464" s="76"/>
    </row>
    <row r="465" ht="15.75" customHeight="1">
      <c r="E465" s="77"/>
      <c r="K465" s="75"/>
      <c r="L465" s="76"/>
      <c r="M465" s="75"/>
      <c r="N465" s="75"/>
      <c r="O465" s="76"/>
    </row>
    <row r="466" ht="15.75" customHeight="1">
      <c r="E466" s="77"/>
      <c r="K466" s="75"/>
      <c r="L466" s="76"/>
      <c r="M466" s="75"/>
      <c r="N466" s="75"/>
      <c r="O466" s="76"/>
    </row>
    <row r="467" ht="15.75" customHeight="1">
      <c r="E467" s="77"/>
      <c r="K467" s="75"/>
      <c r="L467" s="76"/>
      <c r="M467" s="75"/>
      <c r="N467" s="75"/>
      <c r="O467" s="76"/>
    </row>
    <row r="468" ht="15.75" customHeight="1">
      <c r="E468" s="77"/>
      <c r="K468" s="75"/>
      <c r="L468" s="76"/>
      <c r="M468" s="75"/>
      <c r="N468" s="75"/>
      <c r="O468" s="76"/>
    </row>
    <row r="469" ht="15.75" customHeight="1">
      <c r="E469" s="77"/>
      <c r="K469" s="75"/>
      <c r="L469" s="76"/>
      <c r="M469" s="75"/>
      <c r="N469" s="75"/>
      <c r="O469" s="76"/>
    </row>
    <row r="470" ht="15.75" customHeight="1">
      <c r="E470" s="77"/>
      <c r="K470" s="75"/>
      <c r="L470" s="76"/>
      <c r="M470" s="75"/>
      <c r="N470" s="75"/>
      <c r="O470" s="76"/>
    </row>
    <row r="471" ht="15.75" customHeight="1">
      <c r="E471" s="77"/>
      <c r="K471" s="75"/>
      <c r="L471" s="76"/>
      <c r="M471" s="75"/>
      <c r="N471" s="75"/>
      <c r="O471" s="76"/>
    </row>
    <row r="472" ht="15.75" customHeight="1">
      <c r="E472" s="77"/>
      <c r="K472" s="75"/>
      <c r="L472" s="76"/>
      <c r="M472" s="75"/>
      <c r="N472" s="75"/>
      <c r="O472" s="76"/>
    </row>
    <row r="473" ht="15.75" customHeight="1">
      <c r="E473" s="77"/>
      <c r="K473" s="75"/>
      <c r="L473" s="76"/>
      <c r="M473" s="75"/>
      <c r="N473" s="75"/>
      <c r="O473" s="76"/>
    </row>
    <row r="474" ht="15.75" customHeight="1">
      <c r="E474" s="77"/>
      <c r="K474" s="75"/>
      <c r="L474" s="76"/>
      <c r="M474" s="75"/>
      <c r="N474" s="75"/>
      <c r="O474" s="76"/>
    </row>
    <row r="475" ht="15.75" customHeight="1">
      <c r="E475" s="77"/>
      <c r="K475" s="75"/>
      <c r="L475" s="76"/>
      <c r="M475" s="75"/>
      <c r="N475" s="75"/>
      <c r="O475" s="76"/>
    </row>
    <row r="476" ht="15.75" customHeight="1">
      <c r="E476" s="77"/>
      <c r="K476" s="75"/>
      <c r="L476" s="76"/>
      <c r="M476" s="75"/>
      <c r="N476" s="75"/>
      <c r="O476" s="76"/>
    </row>
    <row r="477" ht="15.75" customHeight="1">
      <c r="E477" s="77"/>
      <c r="K477" s="75"/>
      <c r="L477" s="76"/>
      <c r="M477" s="75"/>
      <c r="N477" s="75"/>
      <c r="O477" s="76"/>
    </row>
    <row r="478" ht="15.75" customHeight="1">
      <c r="E478" s="77"/>
      <c r="K478" s="75"/>
      <c r="L478" s="76"/>
      <c r="M478" s="75"/>
      <c r="N478" s="75"/>
      <c r="O478" s="76"/>
    </row>
    <row r="479" ht="15.75" customHeight="1">
      <c r="E479" s="77"/>
      <c r="K479" s="75"/>
      <c r="L479" s="76"/>
      <c r="M479" s="75"/>
      <c r="N479" s="75"/>
      <c r="O479" s="76"/>
    </row>
    <row r="480" ht="15.75" customHeight="1">
      <c r="E480" s="77"/>
      <c r="K480" s="75"/>
      <c r="L480" s="76"/>
      <c r="M480" s="75"/>
      <c r="N480" s="75"/>
      <c r="O480" s="76"/>
    </row>
    <row r="481" ht="15.75" customHeight="1">
      <c r="E481" s="77"/>
      <c r="K481" s="75"/>
      <c r="L481" s="76"/>
      <c r="M481" s="75"/>
      <c r="N481" s="75"/>
      <c r="O481" s="76"/>
    </row>
    <row r="482" ht="15.75" customHeight="1">
      <c r="E482" s="77"/>
      <c r="K482" s="75"/>
      <c r="L482" s="76"/>
      <c r="M482" s="75"/>
      <c r="N482" s="75"/>
      <c r="O482" s="76"/>
    </row>
    <row r="483" ht="15.75" customHeight="1">
      <c r="E483" s="77"/>
      <c r="K483" s="75"/>
      <c r="L483" s="76"/>
      <c r="M483" s="75"/>
      <c r="N483" s="75"/>
      <c r="O483" s="76"/>
    </row>
    <row r="484" ht="15.75" customHeight="1">
      <c r="E484" s="77"/>
      <c r="K484" s="75"/>
      <c r="L484" s="76"/>
      <c r="M484" s="75"/>
      <c r="N484" s="75"/>
      <c r="O484" s="76"/>
    </row>
    <row r="485" ht="15.75" customHeight="1">
      <c r="E485" s="77"/>
      <c r="K485" s="75"/>
      <c r="L485" s="76"/>
      <c r="M485" s="75"/>
      <c r="N485" s="75"/>
      <c r="O485" s="76"/>
    </row>
    <row r="486" ht="15.75" customHeight="1">
      <c r="E486" s="77"/>
      <c r="K486" s="75"/>
      <c r="L486" s="76"/>
      <c r="M486" s="75"/>
      <c r="N486" s="75"/>
      <c r="O486" s="76"/>
    </row>
    <row r="487" ht="15.75" customHeight="1">
      <c r="E487" s="77"/>
      <c r="K487" s="75"/>
      <c r="L487" s="76"/>
      <c r="M487" s="75"/>
      <c r="N487" s="75"/>
      <c r="O487" s="76"/>
    </row>
    <row r="488" ht="15.75" customHeight="1">
      <c r="E488" s="77"/>
      <c r="K488" s="75"/>
      <c r="L488" s="76"/>
      <c r="M488" s="75"/>
      <c r="N488" s="75"/>
      <c r="O488" s="76"/>
    </row>
    <row r="489" ht="15.75" customHeight="1">
      <c r="E489" s="77"/>
      <c r="K489" s="75"/>
      <c r="L489" s="76"/>
      <c r="M489" s="75"/>
      <c r="N489" s="75"/>
      <c r="O489" s="76"/>
    </row>
    <row r="490" ht="15.75" customHeight="1">
      <c r="E490" s="77"/>
      <c r="K490" s="75"/>
      <c r="L490" s="76"/>
      <c r="M490" s="75"/>
      <c r="N490" s="75"/>
      <c r="O490" s="76"/>
    </row>
    <row r="491" ht="15.75" customHeight="1">
      <c r="E491" s="77"/>
      <c r="K491" s="75"/>
      <c r="L491" s="76"/>
      <c r="M491" s="75"/>
      <c r="N491" s="75"/>
      <c r="O491" s="76"/>
    </row>
    <row r="492" ht="15.75" customHeight="1">
      <c r="E492" s="77"/>
      <c r="K492" s="75"/>
      <c r="L492" s="76"/>
      <c r="M492" s="75"/>
      <c r="N492" s="75"/>
      <c r="O492" s="76"/>
    </row>
    <row r="493" ht="15.75" customHeight="1">
      <c r="E493" s="77"/>
      <c r="K493" s="75"/>
      <c r="L493" s="76"/>
      <c r="M493" s="75"/>
      <c r="N493" s="75"/>
      <c r="O493" s="76"/>
    </row>
    <row r="494" ht="15.75" customHeight="1">
      <c r="E494" s="77"/>
      <c r="K494" s="75"/>
      <c r="L494" s="76"/>
      <c r="M494" s="75"/>
      <c r="N494" s="75"/>
      <c r="O494" s="76"/>
    </row>
    <row r="495" ht="15.75" customHeight="1">
      <c r="E495" s="77"/>
      <c r="K495" s="75"/>
      <c r="L495" s="76"/>
      <c r="M495" s="75"/>
      <c r="N495" s="75"/>
      <c r="O495" s="76"/>
    </row>
    <row r="496" ht="15.75" customHeight="1">
      <c r="E496" s="77"/>
      <c r="K496" s="75"/>
      <c r="L496" s="76"/>
      <c r="M496" s="75"/>
      <c r="N496" s="75"/>
      <c r="O496" s="76"/>
    </row>
    <row r="497" ht="15.75" customHeight="1">
      <c r="E497" s="77"/>
      <c r="K497" s="75"/>
      <c r="L497" s="76"/>
      <c r="M497" s="75"/>
      <c r="N497" s="75"/>
      <c r="O497" s="76"/>
    </row>
    <row r="498" ht="15.75" customHeight="1">
      <c r="E498" s="77"/>
      <c r="K498" s="75"/>
      <c r="L498" s="76"/>
      <c r="M498" s="75"/>
      <c r="N498" s="75"/>
      <c r="O498" s="76"/>
    </row>
    <row r="499" ht="15.75" customHeight="1">
      <c r="E499" s="77"/>
      <c r="K499" s="75"/>
      <c r="L499" s="76"/>
      <c r="M499" s="75"/>
      <c r="N499" s="75"/>
      <c r="O499" s="76"/>
    </row>
    <row r="500" ht="15.75" customHeight="1">
      <c r="E500" s="77"/>
      <c r="K500" s="75"/>
      <c r="L500" s="76"/>
      <c r="M500" s="75"/>
      <c r="N500" s="75"/>
      <c r="O500" s="76"/>
    </row>
    <row r="501" ht="15.75" customHeight="1">
      <c r="E501" s="77"/>
      <c r="K501" s="75"/>
      <c r="L501" s="76"/>
      <c r="M501" s="75"/>
      <c r="N501" s="75"/>
      <c r="O501" s="76"/>
    </row>
    <row r="502" ht="15.75" customHeight="1">
      <c r="E502" s="77"/>
      <c r="K502" s="75"/>
      <c r="L502" s="76"/>
      <c r="M502" s="75"/>
      <c r="N502" s="75"/>
      <c r="O502" s="76"/>
    </row>
    <row r="503" ht="15.75" customHeight="1">
      <c r="E503" s="77"/>
      <c r="K503" s="75"/>
      <c r="L503" s="76"/>
      <c r="M503" s="75"/>
      <c r="N503" s="75"/>
      <c r="O503" s="76"/>
    </row>
    <row r="504" ht="15.75" customHeight="1">
      <c r="E504" s="77"/>
      <c r="K504" s="75"/>
      <c r="L504" s="76"/>
      <c r="M504" s="75"/>
      <c r="N504" s="75"/>
      <c r="O504" s="76"/>
    </row>
    <row r="505" ht="15.75" customHeight="1">
      <c r="E505" s="77"/>
      <c r="K505" s="75"/>
      <c r="L505" s="76"/>
      <c r="M505" s="75"/>
      <c r="N505" s="75"/>
      <c r="O505" s="76"/>
    </row>
    <row r="506" ht="15.75" customHeight="1">
      <c r="E506" s="77"/>
      <c r="K506" s="75"/>
      <c r="L506" s="76"/>
      <c r="M506" s="75"/>
      <c r="N506" s="75"/>
      <c r="O506" s="76"/>
    </row>
    <row r="507" ht="15.75" customHeight="1">
      <c r="E507" s="77"/>
      <c r="K507" s="75"/>
      <c r="L507" s="76"/>
      <c r="M507" s="75"/>
      <c r="N507" s="75"/>
      <c r="O507" s="76"/>
    </row>
    <row r="508" ht="15.75" customHeight="1">
      <c r="E508" s="77"/>
      <c r="K508" s="75"/>
      <c r="L508" s="76"/>
      <c r="M508" s="75"/>
      <c r="N508" s="75"/>
      <c r="O508" s="76"/>
    </row>
    <row r="509" ht="15.75" customHeight="1">
      <c r="E509" s="77"/>
      <c r="K509" s="75"/>
      <c r="L509" s="76"/>
      <c r="M509" s="75"/>
      <c r="N509" s="75"/>
      <c r="O509" s="76"/>
    </row>
    <row r="510" ht="15.75" customHeight="1">
      <c r="E510" s="77"/>
      <c r="K510" s="75"/>
      <c r="L510" s="76"/>
      <c r="M510" s="75"/>
      <c r="N510" s="75"/>
      <c r="O510" s="76"/>
    </row>
    <row r="511" ht="15.75" customHeight="1">
      <c r="E511" s="77"/>
      <c r="K511" s="75"/>
      <c r="L511" s="76"/>
      <c r="M511" s="75"/>
      <c r="N511" s="75"/>
      <c r="O511" s="76"/>
    </row>
    <row r="512" ht="15.75" customHeight="1">
      <c r="E512" s="77"/>
      <c r="K512" s="75"/>
      <c r="L512" s="76"/>
      <c r="M512" s="75"/>
      <c r="N512" s="75"/>
      <c r="O512" s="76"/>
    </row>
    <row r="513" ht="15.75" customHeight="1">
      <c r="E513" s="77"/>
      <c r="K513" s="75"/>
      <c r="L513" s="76"/>
      <c r="M513" s="75"/>
      <c r="N513" s="75"/>
      <c r="O513" s="76"/>
    </row>
    <row r="514" ht="15.75" customHeight="1">
      <c r="E514" s="77"/>
      <c r="K514" s="75"/>
      <c r="L514" s="76"/>
      <c r="M514" s="75"/>
      <c r="N514" s="75"/>
      <c r="O514" s="76"/>
    </row>
    <row r="515" ht="15.75" customHeight="1">
      <c r="E515" s="77"/>
      <c r="K515" s="75"/>
      <c r="L515" s="76"/>
      <c r="M515" s="75"/>
      <c r="N515" s="75"/>
      <c r="O515" s="76"/>
    </row>
    <row r="516" ht="15.75" customHeight="1">
      <c r="E516" s="77"/>
      <c r="K516" s="75"/>
      <c r="L516" s="76"/>
      <c r="M516" s="75"/>
      <c r="N516" s="75"/>
      <c r="O516" s="76"/>
    </row>
    <row r="517" ht="15.75" customHeight="1">
      <c r="E517" s="77"/>
      <c r="K517" s="75"/>
      <c r="L517" s="76"/>
      <c r="M517" s="75"/>
      <c r="N517" s="75"/>
      <c r="O517" s="76"/>
    </row>
    <row r="518" ht="15.75" customHeight="1">
      <c r="E518" s="77"/>
      <c r="K518" s="75"/>
      <c r="L518" s="76"/>
      <c r="M518" s="75"/>
      <c r="N518" s="75"/>
      <c r="O518" s="76"/>
    </row>
    <row r="519" ht="15.75" customHeight="1">
      <c r="E519" s="77"/>
      <c r="K519" s="75"/>
      <c r="L519" s="76"/>
      <c r="M519" s="75"/>
      <c r="N519" s="75"/>
      <c r="O519" s="76"/>
    </row>
    <row r="520" ht="15.75" customHeight="1">
      <c r="E520" s="77"/>
      <c r="K520" s="75"/>
      <c r="L520" s="76"/>
      <c r="M520" s="75"/>
      <c r="N520" s="75"/>
      <c r="O520" s="76"/>
    </row>
    <row r="521" ht="15.75" customHeight="1">
      <c r="E521" s="77"/>
      <c r="K521" s="75"/>
      <c r="L521" s="76"/>
      <c r="M521" s="75"/>
      <c r="N521" s="75"/>
      <c r="O521" s="76"/>
    </row>
    <row r="522" ht="15.75" customHeight="1">
      <c r="E522" s="77"/>
      <c r="K522" s="75"/>
      <c r="L522" s="76"/>
      <c r="M522" s="75"/>
      <c r="N522" s="75"/>
      <c r="O522" s="76"/>
    </row>
    <row r="523" ht="15.75" customHeight="1">
      <c r="E523" s="77"/>
      <c r="K523" s="75"/>
      <c r="L523" s="76"/>
      <c r="M523" s="75"/>
      <c r="N523" s="75"/>
      <c r="O523" s="76"/>
    </row>
    <row r="524" ht="15.75" customHeight="1">
      <c r="E524" s="77"/>
      <c r="K524" s="75"/>
      <c r="L524" s="76"/>
      <c r="M524" s="75"/>
      <c r="N524" s="75"/>
      <c r="O524" s="76"/>
    </row>
    <row r="525" ht="15.75" customHeight="1">
      <c r="E525" s="77"/>
      <c r="K525" s="75"/>
      <c r="L525" s="76"/>
      <c r="M525" s="75"/>
      <c r="N525" s="75"/>
      <c r="O525" s="76"/>
    </row>
    <row r="526" ht="15.75" customHeight="1">
      <c r="E526" s="77"/>
      <c r="K526" s="75"/>
      <c r="L526" s="76"/>
      <c r="M526" s="75"/>
      <c r="N526" s="75"/>
      <c r="O526" s="76"/>
    </row>
    <row r="527" ht="15.75" customHeight="1">
      <c r="E527" s="77"/>
      <c r="K527" s="75"/>
      <c r="L527" s="76"/>
      <c r="M527" s="75"/>
      <c r="N527" s="75"/>
      <c r="O527" s="76"/>
    </row>
    <row r="528" ht="15.75" customHeight="1">
      <c r="E528" s="77"/>
      <c r="K528" s="75"/>
      <c r="L528" s="76"/>
      <c r="M528" s="75"/>
      <c r="N528" s="75"/>
      <c r="O528" s="76"/>
    </row>
    <row r="529" ht="15.75" customHeight="1">
      <c r="E529" s="77"/>
      <c r="K529" s="75"/>
      <c r="L529" s="76"/>
      <c r="M529" s="75"/>
      <c r="N529" s="75"/>
      <c r="O529" s="76"/>
    </row>
    <row r="530" ht="15.75" customHeight="1">
      <c r="E530" s="77"/>
      <c r="K530" s="75"/>
      <c r="L530" s="76"/>
      <c r="M530" s="75"/>
      <c r="N530" s="75"/>
      <c r="O530" s="76"/>
    </row>
    <row r="531" ht="15.75" customHeight="1">
      <c r="E531" s="77"/>
      <c r="K531" s="75"/>
      <c r="L531" s="76"/>
      <c r="M531" s="75"/>
      <c r="N531" s="75"/>
      <c r="O531" s="76"/>
    </row>
    <row r="532" ht="15.75" customHeight="1">
      <c r="E532" s="77"/>
      <c r="K532" s="75"/>
      <c r="L532" s="76"/>
      <c r="M532" s="75"/>
      <c r="N532" s="75"/>
      <c r="O532" s="76"/>
    </row>
    <row r="533" ht="15.75" customHeight="1">
      <c r="E533" s="77"/>
      <c r="K533" s="75"/>
      <c r="L533" s="76"/>
      <c r="M533" s="75"/>
      <c r="N533" s="75"/>
      <c r="O533" s="76"/>
    </row>
    <row r="534" ht="15.75" customHeight="1">
      <c r="E534" s="77"/>
      <c r="K534" s="75"/>
      <c r="L534" s="76"/>
      <c r="M534" s="75"/>
      <c r="N534" s="75"/>
      <c r="O534" s="76"/>
    </row>
    <row r="535" ht="15.75" customHeight="1">
      <c r="E535" s="77"/>
      <c r="K535" s="75"/>
      <c r="L535" s="76"/>
      <c r="M535" s="75"/>
      <c r="N535" s="75"/>
      <c r="O535" s="76"/>
    </row>
    <row r="536" ht="15.75" customHeight="1">
      <c r="E536" s="77"/>
      <c r="K536" s="75"/>
      <c r="L536" s="76"/>
      <c r="M536" s="75"/>
      <c r="N536" s="75"/>
      <c r="O536" s="76"/>
    </row>
    <row r="537" ht="15.75" customHeight="1">
      <c r="E537" s="77"/>
      <c r="K537" s="75"/>
      <c r="L537" s="76"/>
      <c r="M537" s="75"/>
      <c r="N537" s="75"/>
      <c r="O537" s="76"/>
    </row>
    <row r="538" ht="15.75" customHeight="1">
      <c r="E538" s="77"/>
      <c r="K538" s="75"/>
      <c r="L538" s="76"/>
      <c r="M538" s="75"/>
      <c r="N538" s="75"/>
      <c r="O538" s="76"/>
    </row>
    <row r="539" ht="15.75" customHeight="1">
      <c r="E539" s="77"/>
      <c r="K539" s="75"/>
      <c r="L539" s="76"/>
      <c r="M539" s="75"/>
      <c r="N539" s="75"/>
      <c r="O539" s="76"/>
    </row>
    <row r="540" ht="15.75" customHeight="1">
      <c r="E540" s="77"/>
      <c r="K540" s="75"/>
      <c r="L540" s="76"/>
      <c r="M540" s="75"/>
      <c r="N540" s="75"/>
      <c r="O540" s="76"/>
    </row>
    <row r="541" ht="15.75" customHeight="1">
      <c r="E541" s="77"/>
      <c r="K541" s="75"/>
      <c r="L541" s="76"/>
      <c r="M541" s="75"/>
      <c r="N541" s="75"/>
      <c r="O541" s="76"/>
    </row>
    <row r="542" ht="15.75" customHeight="1">
      <c r="E542" s="77"/>
      <c r="K542" s="75"/>
      <c r="L542" s="76"/>
      <c r="M542" s="75"/>
      <c r="N542" s="75"/>
      <c r="O542" s="76"/>
    </row>
    <row r="543" ht="15.75" customHeight="1">
      <c r="E543" s="77"/>
      <c r="K543" s="75"/>
      <c r="L543" s="76"/>
      <c r="M543" s="75"/>
      <c r="N543" s="75"/>
      <c r="O543" s="76"/>
    </row>
    <row r="544" ht="15.75" customHeight="1">
      <c r="E544" s="77"/>
      <c r="K544" s="75"/>
      <c r="L544" s="76"/>
      <c r="M544" s="75"/>
      <c r="N544" s="75"/>
      <c r="O544" s="76"/>
    </row>
    <row r="545" ht="15.75" customHeight="1">
      <c r="E545" s="77"/>
      <c r="K545" s="75"/>
      <c r="L545" s="76"/>
      <c r="M545" s="75"/>
      <c r="N545" s="75"/>
      <c r="O545" s="76"/>
    </row>
    <row r="546" ht="15.75" customHeight="1">
      <c r="E546" s="77"/>
      <c r="K546" s="75"/>
      <c r="L546" s="76"/>
      <c r="M546" s="75"/>
      <c r="N546" s="75"/>
      <c r="O546" s="76"/>
    </row>
    <row r="547" ht="15.75" customHeight="1">
      <c r="E547" s="77"/>
      <c r="K547" s="75"/>
      <c r="L547" s="76"/>
      <c r="M547" s="75"/>
      <c r="N547" s="75"/>
      <c r="O547" s="76"/>
    </row>
    <row r="548" ht="15.75" customHeight="1">
      <c r="E548" s="77"/>
      <c r="K548" s="75"/>
      <c r="L548" s="76"/>
      <c r="M548" s="75"/>
      <c r="N548" s="75"/>
      <c r="O548" s="76"/>
    </row>
    <row r="549" ht="15.75" customHeight="1">
      <c r="E549" s="77"/>
      <c r="K549" s="75"/>
      <c r="L549" s="76"/>
      <c r="M549" s="75"/>
      <c r="N549" s="75"/>
      <c r="O549" s="76"/>
    </row>
    <row r="550" ht="15.75" customHeight="1">
      <c r="E550" s="77"/>
      <c r="K550" s="75"/>
      <c r="L550" s="76"/>
      <c r="M550" s="75"/>
      <c r="N550" s="75"/>
      <c r="O550" s="76"/>
    </row>
    <row r="551" ht="15.75" customHeight="1">
      <c r="E551" s="77"/>
      <c r="K551" s="75"/>
      <c r="L551" s="76"/>
      <c r="M551" s="75"/>
      <c r="N551" s="75"/>
      <c r="O551" s="76"/>
    </row>
    <row r="552" ht="15.75" customHeight="1">
      <c r="E552" s="77"/>
      <c r="K552" s="75"/>
      <c r="L552" s="76"/>
      <c r="M552" s="75"/>
      <c r="N552" s="75"/>
      <c r="O552" s="76"/>
    </row>
    <row r="553" ht="15.75" customHeight="1">
      <c r="E553" s="77"/>
      <c r="K553" s="75"/>
      <c r="L553" s="76"/>
      <c r="M553" s="75"/>
      <c r="N553" s="75"/>
      <c r="O553" s="76"/>
    </row>
    <row r="554" ht="15.75" customHeight="1">
      <c r="E554" s="77"/>
      <c r="K554" s="75"/>
      <c r="L554" s="76"/>
      <c r="M554" s="75"/>
      <c r="N554" s="75"/>
      <c r="O554" s="76"/>
    </row>
    <row r="555" ht="15.75" customHeight="1">
      <c r="E555" s="77"/>
      <c r="K555" s="75"/>
      <c r="L555" s="76"/>
      <c r="M555" s="75"/>
      <c r="N555" s="75"/>
      <c r="O555" s="76"/>
    </row>
    <row r="556" ht="15.75" customHeight="1">
      <c r="E556" s="77"/>
      <c r="K556" s="75"/>
      <c r="L556" s="76"/>
      <c r="M556" s="75"/>
      <c r="N556" s="75"/>
      <c r="O556" s="76"/>
    </row>
    <row r="557" ht="15.75" customHeight="1">
      <c r="E557" s="77"/>
      <c r="K557" s="75"/>
      <c r="L557" s="76"/>
      <c r="M557" s="75"/>
      <c r="N557" s="75"/>
      <c r="O557" s="76"/>
    </row>
    <row r="558" ht="15.75" customHeight="1">
      <c r="E558" s="77"/>
      <c r="K558" s="75"/>
      <c r="L558" s="76"/>
      <c r="M558" s="75"/>
      <c r="N558" s="75"/>
      <c r="O558" s="76"/>
    </row>
    <row r="559" ht="15.75" customHeight="1">
      <c r="E559" s="77"/>
      <c r="K559" s="75"/>
      <c r="L559" s="76"/>
      <c r="M559" s="75"/>
      <c r="N559" s="75"/>
      <c r="O559" s="76"/>
    </row>
    <row r="560" ht="15.75" customHeight="1">
      <c r="E560" s="77"/>
      <c r="K560" s="75"/>
      <c r="L560" s="76"/>
      <c r="M560" s="75"/>
      <c r="N560" s="75"/>
      <c r="O560" s="76"/>
    </row>
    <row r="561" ht="15.75" customHeight="1">
      <c r="E561" s="77"/>
      <c r="K561" s="75"/>
      <c r="L561" s="76"/>
      <c r="M561" s="75"/>
      <c r="N561" s="75"/>
      <c r="O561" s="76"/>
    </row>
    <row r="562" ht="15.75" customHeight="1">
      <c r="E562" s="77"/>
      <c r="K562" s="75"/>
      <c r="L562" s="76"/>
      <c r="M562" s="75"/>
      <c r="N562" s="75"/>
      <c r="O562" s="76"/>
    </row>
    <row r="563" ht="15.75" customHeight="1">
      <c r="E563" s="77"/>
      <c r="K563" s="75"/>
      <c r="L563" s="76"/>
      <c r="M563" s="75"/>
      <c r="N563" s="75"/>
      <c r="O563" s="76"/>
    </row>
    <row r="564" ht="15.75" customHeight="1">
      <c r="E564" s="77"/>
      <c r="K564" s="75"/>
      <c r="L564" s="76"/>
      <c r="M564" s="75"/>
      <c r="N564" s="75"/>
      <c r="O564" s="76"/>
    </row>
    <row r="565" ht="15.75" customHeight="1">
      <c r="E565" s="77"/>
      <c r="K565" s="75"/>
      <c r="L565" s="76"/>
      <c r="M565" s="75"/>
      <c r="N565" s="75"/>
      <c r="O565" s="76"/>
    </row>
    <row r="566" ht="15.75" customHeight="1">
      <c r="E566" s="77"/>
      <c r="K566" s="75"/>
      <c r="L566" s="76"/>
      <c r="M566" s="75"/>
      <c r="N566" s="75"/>
      <c r="O566" s="76"/>
    </row>
    <row r="567" ht="15.75" customHeight="1">
      <c r="E567" s="77"/>
      <c r="K567" s="75"/>
      <c r="L567" s="76"/>
      <c r="M567" s="75"/>
      <c r="N567" s="75"/>
      <c r="O567" s="76"/>
    </row>
    <row r="568" ht="15.75" customHeight="1">
      <c r="E568" s="77"/>
      <c r="K568" s="75"/>
      <c r="L568" s="76"/>
      <c r="M568" s="75"/>
      <c r="N568" s="75"/>
      <c r="O568" s="76"/>
    </row>
    <row r="569" ht="15.75" customHeight="1">
      <c r="E569" s="77"/>
      <c r="K569" s="75"/>
      <c r="L569" s="76"/>
      <c r="M569" s="75"/>
      <c r="N569" s="75"/>
      <c r="O569" s="76"/>
    </row>
    <row r="570" ht="15.75" customHeight="1">
      <c r="E570" s="77"/>
      <c r="K570" s="75"/>
      <c r="L570" s="76"/>
      <c r="M570" s="75"/>
      <c r="N570" s="75"/>
      <c r="O570" s="76"/>
    </row>
    <row r="571" ht="15.75" customHeight="1">
      <c r="E571" s="77"/>
      <c r="K571" s="75"/>
      <c r="L571" s="76"/>
      <c r="M571" s="75"/>
      <c r="N571" s="75"/>
      <c r="O571" s="76"/>
    </row>
    <row r="572" ht="15.75" customHeight="1">
      <c r="E572" s="77"/>
      <c r="K572" s="75"/>
      <c r="L572" s="76"/>
      <c r="M572" s="75"/>
      <c r="N572" s="75"/>
      <c r="O572" s="76"/>
    </row>
    <row r="573" ht="15.75" customHeight="1">
      <c r="E573" s="77"/>
      <c r="K573" s="75"/>
      <c r="L573" s="76"/>
      <c r="M573" s="75"/>
      <c r="N573" s="75"/>
      <c r="O573" s="76"/>
    </row>
    <row r="574" ht="15.75" customHeight="1">
      <c r="E574" s="77"/>
      <c r="K574" s="75"/>
      <c r="L574" s="76"/>
      <c r="M574" s="75"/>
      <c r="N574" s="75"/>
      <c r="O574" s="76"/>
    </row>
    <row r="575" ht="15.75" customHeight="1">
      <c r="E575" s="77"/>
      <c r="K575" s="75"/>
      <c r="L575" s="76"/>
      <c r="M575" s="75"/>
      <c r="N575" s="75"/>
      <c r="O575" s="76"/>
    </row>
    <row r="576" ht="15.75" customHeight="1">
      <c r="E576" s="77"/>
      <c r="K576" s="75"/>
      <c r="L576" s="76"/>
      <c r="M576" s="75"/>
      <c r="N576" s="75"/>
      <c r="O576" s="76"/>
    </row>
    <row r="577" ht="15.75" customHeight="1">
      <c r="E577" s="77"/>
      <c r="K577" s="75"/>
      <c r="L577" s="76"/>
      <c r="M577" s="75"/>
      <c r="N577" s="75"/>
      <c r="O577" s="76"/>
    </row>
    <row r="578" ht="15.75" customHeight="1">
      <c r="E578" s="77"/>
      <c r="K578" s="75"/>
      <c r="L578" s="76"/>
      <c r="M578" s="75"/>
      <c r="N578" s="75"/>
      <c r="O578" s="76"/>
    </row>
    <row r="579" ht="15.75" customHeight="1">
      <c r="E579" s="77"/>
      <c r="K579" s="75"/>
      <c r="L579" s="76"/>
      <c r="M579" s="75"/>
      <c r="N579" s="75"/>
      <c r="O579" s="76"/>
    </row>
    <row r="580" ht="15.75" customHeight="1">
      <c r="E580" s="77"/>
      <c r="K580" s="75"/>
      <c r="L580" s="76"/>
      <c r="M580" s="75"/>
      <c r="N580" s="75"/>
      <c r="O580" s="76"/>
    </row>
    <row r="581" ht="15.75" customHeight="1">
      <c r="E581" s="77"/>
      <c r="K581" s="75"/>
      <c r="L581" s="76"/>
      <c r="M581" s="75"/>
      <c r="N581" s="75"/>
      <c r="O581" s="76"/>
    </row>
    <row r="582" ht="15.75" customHeight="1">
      <c r="E582" s="77"/>
      <c r="K582" s="75"/>
      <c r="L582" s="76"/>
      <c r="M582" s="75"/>
      <c r="N582" s="75"/>
      <c r="O582" s="76"/>
    </row>
    <row r="583" ht="15.75" customHeight="1">
      <c r="E583" s="77"/>
      <c r="K583" s="75"/>
      <c r="L583" s="76"/>
      <c r="M583" s="75"/>
      <c r="N583" s="75"/>
      <c r="O583" s="76"/>
    </row>
    <row r="584" ht="15.75" customHeight="1">
      <c r="E584" s="77"/>
      <c r="K584" s="75"/>
      <c r="L584" s="76"/>
      <c r="M584" s="75"/>
      <c r="N584" s="75"/>
      <c r="O584" s="76"/>
    </row>
    <row r="585" ht="15.75" customHeight="1">
      <c r="E585" s="77"/>
      <c r="K585" s="75"/>
      <c r="L585" s="76"/>
      <c r="M585" s="75"/>
      <c r="N585" s="75"/>
      <c r="O585" s="76"/>
    </row>
    <row r="586" ht="15.75" customHeight="1">
      <c r="E586" s="77"/>
      <c r="K586" s="75"/>
      <c r="L586" s="76"/>
      <c r="M586" s="75"/>
      <c r="N586" s="75"/>
      <c r="O586" s="76"/>
    </row>
    <row r="587" ht="15.75" customHeight="1">
      <c r="E587" s="77"/>
      <c r="K587" s="75"/>
      <c r="L587" s="76"/>
      <c r="M587" s="75"/>
      <c r="N587" s="75"/>
      <c r="O587" s="76"/>
    </row>
    <row r="588" ht="15.75" customHeight="1">
      <c r="E588" s="77"/>
      <c r="K588" s="75"/>
      <c r="L588" s="76"/>
      <c r="M588" s="75"/>
      <c r="N588" s="75"/>
      <c r="O588" s="76"/>
    </row>
    <row r="589" ht="15.75" customHeight="1">
      <c r="E589" s="77"/>
      <c r="K589" s="75"/>
      <c r="L589" s="76"/>
      <c r="M589" s="75"/>
      <c r="N589" s="75"/>
      <c r="O589" s="76"/>
    </row>
    <row r="590" ht="15.75" customHeight="1">
      <c r="E590" s="77"/>
      <c r="K590" s="75"/>
      <c r="L590" s="76"/>
      <c r="M590" s="75"/>
      <c r="N590" s="75"/>
      <c r="O590" s="76"/>
    </row>
    <row r="591" ht="15.75" customHeight="1">
      <c r="E591" s="77"/>
      <c r="K591" s="75"/>
      <c r="L591" s="76"/>
      <c r="M591" s="75"/>
      <c r="N591" s="75"/>
      <c r="O591" s="76"/>
    </row>
    <row r="592" ht="15.75" customHeight="1">
      <c r="E592" s="77"/>
      <c r="K592" s="75"/>
      <c r="L592" s="76"/>
      <c r="M592" s="75"/>
      <c r="N592" s="75"/>
      <c r="O592" s="76"/>
    </row>
    <row r="593" ht="15.75" customHeight="1">
      <c r="E593" s="77"/>
      <c r="K593" s="75"/>
      <c r="L593" s="76"/>
      <c r="M593" s="75"/>
      <c r="N593" s="75"/>
      <c r="O593" s="76"/>
    </row>
    <row r="594" ht="15.75" customHeight="1">
      <c r="E594" s="77"/>
      <c r="K594" s="75"/>
      <c r="L594" s="76"/>
      <c r="M594" s="75"/>
      <c r="N594" s="75"/>
      <c r="O594" s="76"/>
    </row>
    <row r="595" ht="15.75" customHeight="1">
      <c r="E595" s="77"/>
      <c r="K595" s="75"/>
      <c r="L595" s="76"/>
      <c r="M595" s="75"/>
      <c r="N595" s="75"/>
      <c r="O595" s="76"/>
    </row>
    <row r="596" ht="15.75" customHeight="1">
      <c r="E596" s="77"/>
      <c r="K596" s="75"/>
      <c r="L596" s="76"/>
      <c r="M596" s="75"/>
      <c r="N596" s="75"/>
      <c r="O596" s="76"/>
    </row>
    <row r="597" ht="15.75" customHeight="1">
      <c r="E597" s="77"/>
      <c r="K597" s="75"/>
      <c r="L597" s="76"/>
      <c r="M597" s="75"/>
      <c r="N597" s="75"/>
      <c r="O597" s="76"/>
    </row>
    <row r="598" ht="15.75" customHeight="1">
      <c r="E598" s="77"/>
      <c r="K598" s="75"/>
      <c r="L598" s="76"/>
      <c r="M598" s="75"/>
      <c r="N598" s="75"/>
      <c r="O598" s="76"/>
    </row>
    <row r="599" ht="15.75" customHeight="1">
      <c r="E599" s="77"/>
      <c r="K599" s="75"/>
      <c r="L599" s="76"/>
      <c r="M599" s="75"/>
      <c r="N599" s="75"/>
      <c r="O599" s="76"/>
    </row>
    <row r="600" ht="15.75" customHeight="1">
      <c r="E600" s="77"/>
      <c r="K600" s="75"/>
      <c r="L600" s="76"/>
      <c r="M600" s="75"/>
      <c r="N600" s="75"/>
      <c r="O600" s="76"/>
    </row>
    <row r="601" ht="15.75" customHeight="1">
      <c r="E601" s="77"/>
      <c r="K601" s="75"/>
      <c r="L601" s="76"/>
      <c r="M601" s="75"/>
      <c r="N601" s="75"/>
      <c r="O601" s="76"/>
    </row>
    <row r="602" ht="15.75" customHeight="1">
      <c r="E602" s="77"/>
      <c r="K602" s="75"/>
      <c r="L602" s="76"/>
      <c r="M602" s="75"/>
      <c r="N602" s="75"/>
      <c r="O602" s="76"/>
    </row>
    <row r="603" ht="15.75" customHeight="1">
      <c r="E603" s="77"/>
      <c r="K603" s="75"/>
      <c r="L603" s="76"/>
      <c r="M603" s="75"/>
      <c r="N603" s="75"/>
      <c r="O603" s="76"/>
    </row>
    <row r="604" ht="15.75" customHeight="1">
      <c r="E604" s="77"/>
      <c r="K604" s="75"/>
      <c r="L604" s="76"/>
      <c r="M604" s="75"/>
      <c r="N604" s="75"/>
      <c r="O604" s="76"/>
    </row>
    <row r="605" ht="15.75" customHeight="1">
      <c r="E605" s="77"/>
      <c r="K605" s="75"/>
      <c r="L605" s="76"/>
      <c r="M605" s="75"/>
      <c r="N605" s="75"/>
      <c r="O605" s="76"/>
    </row>
    <row r="606" ht="15.75" customHeight="1">
      <c r="E606" s="77"/>
      <c r="K606" s="75"/>
      <c r="L606" s="76"/>
      <c r="M606" s="75"/>
      <c r="N606" s="75"/>
      <c r="O606" s="76"/>
    </row>
    <row r="607" ht="15.75" customHeight="1">
      <c r="E607" s="77"/>
      <c r="K607" s="75"/>
      <c r="L607" s="76"/>
      <c r="M607" s="75"/>
      <c r="N607" s="75"/>
      <c r="O607" s="76"/>
    </row>
    <row r="608" ht="15.75" customHeight="1">
      <c r="E608" s="77"/>
      <c r="K608" s="75"/>
      <c r="L608" s="76"/>
      <c r="M608" s="75"/>
      <c r="N608" s="75"/>
      <c r="O608" s="76"/>
    </row>
    <row r="609" ht="15.75" customHeight="1">
      <c r="E609" s="77"/>
      <c r="K609" s="75"/>
      <c r="L609" s="76"/>
      <c r="M609" s="75"/>
      <c r="N609" s="75"/>
      <c r="O609" s="76"/>
    </row>
    <row r="610" ht="15.75" customHeight="1">
      <c r="E610" s="77"/>
      <c r="K610" s="75"/>
      <c r="L610" s="76"/>
      <c r="M610" s="75"/>
      <c r="N610" s="75"/>
      <c r="O610" s="76"/>
    </row>
    <row r="611" ht="15.75" customHeight="1">
      <c r="E611" s="77"/>
      <c r="K611" s="75"/>
      <c r="L611" s="76"/>
      <c r="M611" s="75"/>
      <c r="N611" s="75"/>
      <c r="O611" s="76"/>
    </row>
    <row r="612" ht="15.75" customHeight="1">
      <c r="E612" s="77"/>
      <c r="K612" s="75"/>
      <c r="L612" s="76"/>
      <c r="M612" s="75"/>
      <c r="N612" s="75"/>
      <c r="O612" s="76"/>
    </row>
    <row r="613" ht="15.75" customHeight="1">
      <c r="E613" s="77"/>
      <c r="K613" s="75"/>
      <c r="L613" s="76"/>
      <c r="M613" s="75"/>
      <c r="N613" s="75"/>
      <c r="O613" s="76"/>
    </row>
    <row r="614" ht="15.75" customHeight="1">
      <c r="E614" s="77"/>
      <c r="K614" s="75"/>
      <c r="L614" s="76"/>
      <c r="M614" s="75"/>
      <c r="N614" s="75"/>
      <c r="O614" s="76"/>
    </row>
    <row r="615" ht="15.75" customHeight="1">
      <c r="E615" s="77"/>
      <c r="K615" s="75"/>
      <c r="L615" s="76"/>
      <c r="M615" s="75"/>
      <c r="N615" s="75"/>
      <c r="O615" s="76"/>
    </row>
    <row r="616" ht="15.75" customHeight="1">
      <c r="E616" s="77"/>
      <c r="K616" s="75"/>
      <c r="L616" s="76"/>
      <c r="M616" s="75"/>
      <c r="N616" s="75"/>
      <c r="O616" s="76"/>
    </row>
    <row r="617" ht="15.75" customHeight="1">
      <c r="E617" s="77"/>
      <c r="K617" s="75"/>
      <c r="L617" s="76"/>
      <c r="M617" s="75"/>
      <c r="N617" s="75"/>
      <c r="O617" s="76"/>
    </row>
    <row r="618" ht="15.75" customHeight="1">
      <c r="E618" s="77"/>
      <c r="K618" s="75"/>
      <c r="L618" s="76"/>
      <c r="M618" s="75"/>
      <c r="N618" s="75"/>
      <c r="O618" s="76"/>
    </row>
    <row r="619" ht="15.75" customHeight="1">
      <c r="E619" s="77"/>
      <c r="K619" s="75"/>
      <c r="L619" s="76"/>
      <c r="M619" s="75"/>
      <c r="N619" s="75"/>
      <c r="O619" s="76"/>
    </row>
    <row r="620" ht="15.75" customHeight="1">
      <c r="E620" s="77"/>
      <c r="K620" s="75"/>
      <c r="L620" s="76"/>
      <c r="M620" s="75"/>
      <c r="N620" s="75"/>
      <c r="O620" s="76"/>
    </row>
    <row r="621" ht="15.75" customHeight="1">
      <c r="E621" s="77"/>
      <c r="K621" s="75"/>
      <c r="L621" s="76"/>
      <c r="M621" s="75"/>
      <c r="N621" s="75"/>
      <c r="O621" s="76"/>
    </row>
    <row r="622" ht="15.75" customHeight="1">
      <c r="E622" s="77"/>
      <c r="K622" s="75"/>
      <c r="L622" s="76"/>
      <c r="M622" s="75"/>
      <c r="N622" s="75"/>
      <c r="O622" s="76"/>
    </row>
    <row r="623" ht="15.75" customHeight="1">
      <c r="E623" s="77"/>
      <c r="K623" s="75"/>
      <c r="L623" s="76"/>
      <c r="M623" s="75"/>
      <c r="N623" s="75"/>
      <c r="O623" s="76"/>
    </row>
    <row r="624" ht="15.75" customHeight="1">
      <c r="E624" s="77"/>
      <c r="K624" s="75"/>
      <c r="L624" s="76"/>
      <c r="M624" s="75"/>
      <c r="N624" s="75"/>
      <c r="O624" s="76"/>
    </row>
    <row r="625" ht="15.75" customHeight="1">
      <c r="E625" s="77"/>
      <c r="K625" s="75"/>
      <c r="L625" s="76"/>
      <c r="M625" s="75"/>
      <c r="N625" s="75"/>
      <c r="O625" s="76"/>
    </row>
    <row r="626" ht="15.75" customHeight="1">
      <c r="E626" s="77"/>
      <c r="K626" s="75"/>
      <c r="L626" s="76"/>
      <c r="M626" s="75"/>
      <c r="N626" s="75"/>
      <c r="O626" s="76"/>
    </row>
    <row r="627" ht="15.75" customHeight="1">
      <c r="E627" s="77"/>
      <c r="K627" s="75"/>
      <c r="L627" s="76"/>
      <c r="M627" s="75"/>
      <c r="N627" s="75"/>
      <c r="O627" s="76"/>
    </row>
    <row r="628" ht="15.75" customHeight="1">
      <c r="E628" s="77"/>
      <c r="K628" s="75"/>
      <c r="L628" s="76"/>
      <c r="M628" s="75"/>
      <c r="N628" s="75"/>
      <c r="O628" s="76"/>
    </row>
    <row r="629" ht="15.75" customHeight="1">
      <c r="E629" s="77"/>
      <c r="K629" s="75"/>
      <c r="L629" s="76"/>
      <c r="M629" s="75"/>
      <c r="N629" s="75"/>
      <c r="O629" s="76"/>
    </row>
    <row r="630" ht="15.75" customHeight="1">
      <c r="E630" s="77"/>
      <c r="K630" s="75"/>
      <c r="L630" s="76"/>
      <c r="M630" s="75"/>
      <c r="N630" s="75"/>
      <c r="O630" s="76"/>
    </row>
    <row r="631" ht="15.75" customHeight="1">
      <c r="E631" s="77"/>
      <c r="K631" s="75"/>
      <c r="L631" s="76"/>
      <c r="M631" s="75"/>
      <c r="N631" s="75"/>
      <c r="O631" s="76"/>
    </row>
    <row r="632" ht="15.75" customHeight="1">
      <c r="E632" s="77"/>
      <c r="K632" s="75"/>
      <c r="L632" s="76"/>
      <c r="M632" s="75"/>
      <c r="N632" s="75"/>
      <c r="O632" s="76"/>
    </row>
    <row r="633" ht="15.75" customHeight="1">
      <c r="E633" s="77"/>
      <c r="K633" s="75"/>
      <c r="L633" s="76"/>
      <c r="M633" s="75"/>
      <c r="N633" s="75"/>
      <c r="O633" s="76"/>
    </row>
    <row r="634" ht="15.75" customHeight="1">
      <c r="E634" s="77"/>
      <c r="K634" s="75"/>
      <c r="L634" s="76"/>
      <c r="M634" s="75"/>
      <c r="N634" s="75"/>
      <c r="O634" s="76"/>
    </row>
    <row r="635" ht="15.75" customHeight="1">
      <c r="E635" s="77"/>
      <c r="K635" s="75"/>
      <c r="L635" s="76"/>
      <c r="M635" s="75"/>
      <c r="N635" s="75"/>
      <c r="O635" s="76"/>
    </row>
    <row r="636" ht="15.75" customHeight="1">
      <c r="E636" s="77"/>
      <c r="K636" s="75"/>
      <c r="L636" s="76"/>
      <c r="M636" s="75"/>
      <c r="N636" s="75"/>
      <c r="O636" s="76"/>
    </row>
    <row r="637" ht="15.75" customHeight="1">
      <c r="E637" s="77"/>
      <c r="K637" s="75"/>
      <c r="L637" s="76"/>
      <c r="M637" s="75"/>
      <c r="N637" s="75"/>
      <c r="O637" s="76"/>
    </row>
    <row r="638" ht="15.75" customHeight="1">
      <c r="E638" s="77"/>
      <c r="K638" s="75"/>
      <c r="L638" s="76"/>
      <c r="M638" s="75"/>
      <c r="N638" s="75"/>
      <c r="O638" s="76"/>
    </row>
    <row r="639" ht="15.75" customHeight="1">
      <c r="E639" s="77"/>
      <c r="K639" s="75"/>
      <c r="L639" s="76"/>
      <c r="M639" s="75"/>
      <c r="N639" s="75"/>
      <c r="O639" s="76"/>
    </row>
    <row r="640" ht="15.75" customHeight="1">
      <c r="E640" s="77"/>
      <c r="K640" s="75"/>
      <c r="L640" s="76"/>
      <c r="M640" s="75"/>
      <c r="N640" s="75"/>
      <c r="O640" s="76"/>
    </row>
    <row r="641" ht="15.75" customHeight="1">
      <c r="E641" s="77"/>
      <c r="K641" s="75"/>
      <c r="L641" s="76"/>
      <c r="M641" s="75"/>
      <c r="N641" s="75"/>
      <c r="O641" s="76"/>
    </row>
    <row r="642" ht="15.75" customHeight="1">
      <c r="E642" s="77"/>
      <c r="K642" s="75"/>
      <c r="L642" s="76"/>
      <c r="M642" s="75"/>
      <c r="N642" s="75"/>
      <c r="O642" s="76"/>
    </row>
    <row r="643" ht="15.75" customHeight="1">
      <c r="E643" s="77"/>
      <c r="K643" s="75"/>
      <c r="L643" s="76"/>
      <c r="M643" s="75"/>
      <c r="N643" s="75"/>
      <c r="O643" s="76"/>
    </row>
    <row r="644" ht="15.75" customHeight="1">
      <c r="E644" s="77"/>
      <c r="K644" s="75"/>
      <c r="L644" s="76"/>
      <c r="M644" s="75"/>
      <c r="N644" s="75"/>
      <c r="O644" s="76"/>
    </row>
    <row r="645" ht="15.75" customHeight="1">
      <c r="E645" s="77"/>
      <c r="K645" s="75"/>
      <c r="L645" s="76"/>
      <c r="M645" s="75"/>
      <c r="N645" s="75"/>
      <c r="O645" s="76"/>
    </row>
    <row r="646" ht="15.75" customHeight="1">
      <c r="E646" s="77"/>
      <c r="K646" s="75"/>
      <c r="L646" s="76"/>
      <c r="M646" s="75"/>
      <c r="N646" s="75"/>
      <c r="O646" s="76"/>
    </row>
    <row r="647" ht="15.75" customHeight="1">
      <c r="E647" s="77"/>
      <c r="K647" s="75"/>
      <c r="L647" s="76"/>
      <c r="M647" s="75"/>
      <c r="N647" s="75"/>
      <c r="O647" s="76"/>
    </row>
    <row r="648" ht="15.75" customHeight="1">
      <c r="E648" s="77"/>
      <c r="K648" s="75"/>
      <c r="L648" s="76"/>
      <c r="M648" s="75"/>
      <c r="N648" s="75"/>
      <c r="O648" s="76"/>
    </row>
    <row r="649" ht="15.75" customHeight="1">
      <c r="E649" s="77"/>
      <c r="K649" s="75"/>
      <c r="L649" s="76"/>
      <c r="M649" s="75"/>
      <c r="N649" s="75"/>
      <c r="O649" s="76"/>
    </row>
    <row r="650" ht="15.75" customHeight="1">
      <c r="E650" s="77"/>
      <c r="K650" s="75"/>
      <c r="L650" s="76"/>
      <c r="M650" s="75"/>
      <c r="N650" s="75"/>
      <c r="O650" s="76"/>
    </row>
    <row r="651" ht="15.75" customHeight="1">
      <c r="E651" s="77"/>
      <c r="K651" s="75"/>
      <c r="L651" s="76"/>
      <c r="M651" s="75"/>
      <c r="N651" s="75"/>
      <c r="O651" s="76"/>
    </row>
    <row r="652" ht="15.75" customHeight="1">
      <c r="E652" s="77"/>
      <c r="K652" s="75"/>
      <c r="L652" s="76"/>
      <c r="M652" s="75"/>
      <c r="N652" s="75"/>
      <c r="O652" s="76"/>
    </row>
    <row r="653" ht="15.75" customHeight="1">
      <c r="E653" s="77"/>
      <c r="K653" s="75"/>
      <c r="L653" s="76"/>
      <c r="M653" s="75"/>
      <c r="N653" s="75"/>
      <c r="O653" s="76"/>
    </row>
    <row r="654" ht="15.75" customHeight="1">
      <c r="E654" s="77"/>
      <c r="K654" s="75"/>
      <c r="L654" s="76"/>
      <c r="M654" s="75"/>
      <c r="N654" s="75"/>
      <c r="O654" s="76"/>
    </row>
    <row r="655" ht="15.75" customHeight="1">
      <c r="E655" s="77"/>
      <c r="K655" s="75"/>
      <c r="L655" s="76"/>
      <c r="M655" s="75"/>
      <c r="N655" s="75"/>
      <c r="O655" s="76"/>
    </row>
    <row r="656" ht="15.75" customHeight="1">
      <c r="E656" s="77"/>
      <c r="K656" s="75"/>
      <c r="L656" s="76"/>
      <c r="M656" s="75"/>
      <c r="N656" s="75"/>
      <c r="O656" s="76"/>
    </row>
    <row r="657" ht="15.75" customHeight="1">
      <c r="E657" s="77"/>
      <c r="K657" s="75"/>
      <c r="L657" s="76"/>
      <c r="M657" s="75"/>
      <c r="N657" s="75"/>
      <c r="O657" s="76"/>
    </row>
    <row r="658" ht="15.75" customHeight="1">
      <c r="E658" s="77"/>
      <c r="K658" s="75"/>
      <c r="L658" s="76"/>
      <c r="M658" s="75"/>
      <c r="N658" s="75"/>
      <c r="O658" s="76"/>
    </row>
    <row r="659" ht="15.75" customHeight="1">
      <c r="E659" s="77"/>
      <c r="K659" s="75"/>
      <c r="L659" s="76"/>
      <c r="M659" s="75"/>
      <c r="N659" s="75"/>
      <c r="O659" s="76"/>
    </row>
    <row r="660" ht="15.75" customHeight="1">
      <c r="E660" s="77"/>
      <c r="K660" s="75"/>
      <c r="L660" s="76"/>
      <c r="M660" s="75"/>
      <c r="N660" s="75"/>
      <c r="O660" s="76"/>
    </row>
    <row r="661" ht="15.75" customHeight="1">
      <c r="E661" s="77"/>
      <c r="K661" s="75"/>
      <c r="L661" s="76"/>
      <c r="M661" s="75"/>
      <c r="N661" s="75"/>
      <c r="O661" s="76"/>
    </row>
    <row r="662" ht="15.75" customHeight="1">
      <c r="E662" s="77"/>
      <c r="K662" s="75"/>
      <c r="L662" s="76"/>
      <c r="M662" s="75"/>
      <c r="N662" s="75"/>
      <c r="O662" s="76"/>
    </row>
    <row r="663" ht="15.75" customHeight="1">
      <c r="E663" s="77"/>
      <c r="K663" s="75"/>
      <c r="L663" s="76"/>
      <c r="M663" s="75"/>
      <c r="N663" s="75"/>
      <c r="O663" s="76"/>
    </row>
    <row r="664" ht="15.75" customHeight="1">
      <c r="E664" s="77"/>
      <c r="K664" s="75"/>
      <c r="L664" s="76"/>
      <c r="M664" s="75"/>
      <c r="N664" s="75"/>
      <c r="O664" s="76"/>
    </row>
    <row r="665" ht="15.75" customHeight="1">
      <c r="E665" s="77"/>
      <c r="K665" s="75"/>
      <c r="L665" s="76"/>
      <c r="M665" s="75"/>
      <c r="N665" s="75"/>
      <c r="O665" s="76"/>
    </row>
    <row r="666" ht="15.75" customHeight="1">
      <c r="E666" s="77"/>
      <c r="K666" s="75"/>
      <c r="L666" s="76"/>
      <c r="M666" s="75"/>
      <c r="N666" s="75"/>
      <c r="O666" s="76"/>
    </row>
    <row r="667" ht="15.75" customHeight="1">
      <c r="E667" s="77"/>
      <c r="K667" s="75"/>
      <c r="L667" s="76"/>
      <c r="M667" s="75"/>
      <c r="N667" s="75"/>
      <c r="O667" s="76"/>
    </row>
    <row r="668" ht="15.75" customHeight="1">
      <c r="E668" s="77"/>
      <c r="K668" s="75"/>
      <c r="L668" s="76"/>
      <c r="M668" s="75"/>
      <c r="N668" s="75"/>
      <c r="O668" s="76"/>
    </row>
    <row r="669" ht="15.75" customHeight="1">
      <c r="E669" s="77"/>
      <c r="K669" s="75"/>
      <c r="L669" s="76"/>
      <c r="M669" s="75"/>
      <c r="N669" s="75"/>
      <c r="O669" s="76"/>
    </row>
    <row r="670" ht="15.75" customHeight="1">
      <c r="E670" s="77"/>
      <c r="K670" s="75"/>
      <c r="L670" s="76"/>
      <c r="M670" s="75"/>
      <c r="N670" s="75"/>
      <c r="O670" s="76"/>
    </row>
    <row r="671" ht="15.75" customHeight="1">
      <c r="E671" s="77"/>
      <c r="K671" s="75"/>
      <c r="L671" s="76"/>
      <c r="M671" s="75"/>
      <c r="N671" s="75"/>
      <c r="O671" s="76"/>
    </row>
    <row r="672" ht="15.75" customHeight="1">
      <c r="E672" s="77"/>
      <c r="K672" s="75"/>
      <c r="L672" s="76"/>
      <c r="M672" s="75"/>
      <c r="N672" s="75"/>
      <c r="O672" s="76"/>
    </row>
    <row r="673" ht="15.75" customHeight="1">
      <c r="E673" s="77"/>
      <c r="K673" s="75"/>
      <c r="L673" s="76"/>
      <c r="M673" s="75"/>
      <c r="N673" s="75"/>
      <c r="O673" s="76"/>
    </row>
    <row r="674" ht="15.75" customHeight="1">
      <c r="E674" s="77"/>
      <c r="K674" s="75"/>
      <c r="L674" s="76"/>
      <c r="M674" s="75"/>
      <c r="N674" s="75"/>
      <c r="O674" s="76"/>
    </row>
    <row r="675" ht="15.75" customHeight="1">
      <c r="E675" s="77"/>
      <c r="K675" s="75"/>
      <c r="L675" s="76"/>
      <c r="M675" s="75"/>
      <c r="N675" s="75"/>
      <c r="O675" s="76"/>
    </row>
    <row r="676" ht="15.75" customHeight="1">
      <c r="E676" s="77"/>
      <c r="K676" s="75"/>
      <c r="L676" s="76"/>
      <c r="M676" s="75"/>
      <c r="N676" s="75"/>
      <c r="O676" s="76"/>
    </row>
    <row r="677" ht="15.75" customHeight="1">
      <c r="E677" s="77"/>
      <c r="K677" s="75"/>
      <c r="L677" s="76"/>
      <c r="M677" s="75"/>
      <c r="N677" s="75"/>
      <c r="O677" s="76"/>
    </row>
    <row r="678" ht="15.75" customHeight="1">
      <c r="E678" s="77"/>
      <c r="K678" s="75"/>
      <c r="L678" s="76"/>
      <c r="M678" s="75"/>
      <c r="N678" s="75"/>
      <c r="O678" s="76"/>
    </row>
    <row r="679" ht="15.75" customHeight="1">
      <c r="E679" s="77"/>
      <c r="K679" s="75"/>
      <c r="L679" s="76"/>
      <c r="M679" s="75"/>
      <c r="N679" s="75"/>
      <c r="O679" s="76"/>
    </row>
    <row r="680" ht="15.75" customHeight="1">
      <c r="E680" s="77"/>
      <c r="K680" s="75"/>
      <c r="L680" s="76"/>
      <c r="M680" s="75"/>
      <c r="N680" s="75"/>
      <c r="O680" s="76"/>
    </row>
    <row r="681" ht="15.75" customHeight="1">
      <c r="E681" s="77"/>
      <c r="K681" s="75"/>
      <c r="L681" s="76"/>
      <c r="M681" s="75"/>
      <c r="N681" s="75"/>
      <c r="O681" s="76"/>
    </row>
    <row r="682" ht="15.75" customHeight="1">
      <c r="E682" s="77"/>
      <c r="K682" s="75"/>
      <c r="L682" s="76"/>
      <c r="M682" s="75"/>
      <c r="N682" s="75"/>
      <c r="O682" s="76"/>
    </row>
    <row r="683" ht="15.75" customHeight="1">
      <c r="E683" s="77"/>
      <c r="K683" s="75"/>
      <c r="L683" s="76"/>
      <c r="M683" s="75"/>
      <c r="N683" s="75"/>
      <c r="O683" s="76"/>
    </row>
    <row r="684" ht="15.75" customHeight="1">
      <c r="E684" s="77"/>
      <c r="K684" s="75"/>
      <c r="L684" s="76"/>
      <c r="M684" s="75"/>
      <c r="N684" s="75"/>
      <c r="O684" s="76"/>
    </row>
    <row r="685" ht="15.75" customHeight="1">
      <c r="E685" s="77"/>
      <c r="K685" s="75"/>
      <c r="L685" s="76"/>
      <c r="M685" s="75"/>
      <c r="N685" s="75"/>
      <c r="O685" s="76"/>
    </row>
    <row r="686" ht="15.75" customHeight="1">
      <c r="E686" s="77"/>
      <c r="K686" s="75"/>
      <c r="L686" s="76"/>
      <c r="M686" s="75"/>
      <c r="N686" s="75"/>
      <c r="O686" s="76"/>
    </row>
    <row r="687" ht="15.75" customHeight="1">
      <c r="E687" s="77"/>
      <c r="K687" s="75"/>
      <c r="L687" s="76"/>
      <c r="M687" s="75"/>
      <c r="N687" s="75"/>
      <c r="O687" s="76"/>
    </row>
    <row r="688" ht="15.75" customHeight="1">
      <c r="E688" s="77"/>
      <c r="K688" s="75"/>
      <c r="L688" s="76"/>
      <c r="M688" s="75"/>
      <c r="N688" s="75"/>
      <c r="O688" s="76"/>
    </row>
    <row r="689" ht="15.75" customHeight="1">
      <c r="E689" s="77"/>
      <c r="K689" s="75"/>
      <c r="L689" s="76"/>
      <c r="M689" s="75"/>
      <c r="N689" s="75"/>
      <c r="O689" s="76"/>
    </row>
    <row r="690" ht="15.75" customHeight="1">
      <c r="E690" s="77"/>
      <c r="K690" s="75"/>
      <c r="L690" s="76"/>
      <c r="M690" s="75"/>
      <c r="N690" s="75"/>
      <c r="O690" s="76"/>
    </row>
    <row r="691" ht="15.75" customHeight="1">
      <c r="E691" s="77"/>
      <c r="K691" s="75"/>
      <c r="L691" s="76"/>
      <c r="M691" s="75"/>
      <c r="N691" s="75"/>
      <c r="O691" s="76"/>
    </row>
    <row r="692" ht="15.75" customHeight="1">
      <c r="E692" s="77"/>
      <c r="K692" s="75"/>
      <c r="L692" s="76"/>
      <c r="M692" s="75"/>
      <c r="N692" s="75"/>
      <c r="O692" s="76"/>
    </row>
    <row r="693" ht="15.75" customHeight="1">
      <c r="E693" s="77"/>
      <c r="K693" s="75"/>
      <c r="L693" s="76"/>
      <c r="M693" s="75"/>
      <c r="N693" s="75"/>
      <c r="O693" s="76"/>
    </row>
    <row r="694" ht="15.75" customHeight="1">
      <c r="E694" s="77"/>
      <c r="K694" s="75"/>
      <c r="L694" s="76"/>
      <c r="M694" s="75"/>
      <c r="N694" s="75"/>
      <c r="O694" s="76"/>
    </row>
    <row r="695" ht="15.75" customHeight="1">
      <c r="E695" s="77"/>
      <c r="K695" s="75"/>
      <c r="L695" s="76"/>
      <c r="M695" s="75"/>
      <c r="N695" s="75"/>
      <c r="O695" s="76"/>
    </row>
    <row r="696" ht="15.75" customHeight="1">
      <c r="E696" s="77"/>
      <c r="K696" s="75"/>
      <c r="L696" s="76"/>
      <c r="M696" s="75"/>
      <c r="N696" s="75"/>
      <c r="O696" s="76"/>
    </row>
    <row r="697" ht="15.75" customHeight="1">
      <c r="E697" s="77"/>
      <c r="K697" s="75"/>
      <c r="L697" s="76"/>
      <c r="M697" s="75"/>
      <c r="N697" s="75"/>
      <c r="O697" s="76"/>
    </row>
    <row r="698" ht="15.75" customHeight="1">
      <c r="E698" s="77"/>
      <c r="K698" s="75"/>
      <c r="L698" s="76"/>
      <c r="M698" s="75"/>
      <c r="N698" s="75"/>
      <c r="O698" s="76"/>
    </row>
    <row r="699" ht="15.75" customHeight="1">
      <c r="E699" s="77"/>
      <c r="K699" s="75"/>
      <c r="L699" s="76"/>
      <c r="M699" s="75"/>
      <c r="N699" s="75"/>
      <c r="O699" s="76"/>
    </row>
    <row r="700" ht="15.75" customHeight="1">
      <c r="E700" s="77"/>
      <c r="K700" s="75"/>
      <c r="L700" s="76"/>
      <c r="M700" s="75"/>
      <c r="N700" s="75"/>
      <c r="O700" s="76"/>
    </row>
    <row r="701" ht="15.75" customHeight="1">
      <c r="E701" s="77"/>
      <c r="K701" s="75"/>
      <c r="L701" s="76"/>
      <c r="M701" s="75"/>
      <c r="N701" s="75"/>
      <c r="O701" s="76"/>
    </row>
    <row r="702" ht="15.75" customHeight="1">
      <c r="E702" s="77"/>
      <c r="K702" s="75"/>
      <c r="L702" s="76"/>
      <c r="M702" s="75"/>
      <c r="N702" s="75"/>
      <c r="O702" s="76"/>
    </row>
    <row r="703" ht="15.75" customHeight="1">
      <c r="E703" s="77"/>
      <c r="K703" s="75"/>
      <c r="L703" s="76"/>
      <c r="M703" s="75"/>
      <c r="N703" s="75"/>
      <c r="O703" s="76"/>
    </row>
    <row r="704" ht="15.75" customHeight="1">
      <c r="E704" s="77"/>
      <c r="K704" s="75"/>
      <c r="L704" s="76"/>
      <c r="M704" s="75"/>
      <c r="N704" s="75"/>
      <c r="O704" s="76"/>
    </row>
    <row r="705" ht="15.75" customHeight="1">
      <c r="E705" s="77"/>
      <c r="K705" s="75"/>
      <c r="L705" s="76"/>
      <c r="M705" s="75"/>
      <c r="N705" s="75"/>
      <c r="O705" s="76"/>
    </row>
    <row r="706" ht="15.75" customHeight="1">
      <c r="E706" s="77"/>
      <c r="K706" s="75"/>
      <c r="L706" s="76"/>
      <c r="M706" s="75"/>
      <c r="N706" s="75"/>
      <c r="O706" s="76"/>
    </row>
    <row r="707" ht="15.75" customHeight="1">
      <c r="E707" s="77"/>
      <c r="K707" s="75"/>
      <c r="L707" s="76"/>
      <c r="M707" s="75"/>
      <c r="N707" s="75"/>
      <c r="O707" s="76"/>
    </row>
    <row r="708" ht="15.75" customHeight="1">
      <c r="E708" s="77"/>
      <c r="K708" s="75"/>
      <c r="L708" s="76"/>
      <c r="M708" s="75"/>
      <c r="N708" s="75"/>
      <c r="O708" s="76"/>
    </row>
    <row r="709" ht="15.75" customHeight="1">
      <c r="E709" s="77"/>
      <c r="K709" s="75"/>
      <c r="L709" s="76"/>
      <c r="M709" s="75"/>
      <c r="N709" s="75"/>
      <c r="O709" s="76"/>
    </row>
    <row r="710" ht="15.75" customHeight="1">
      <c r="E710" s="77"/>
      <c r="K710" s="75"/>
      <c r="L710" s="76"/>
      <c r="M710" s="75"/>
      <c r="N710" s="75"/>
      <c r="O710" s="76"/>
    </row>
    <row r="711" ht="15.75" customHeight="1">
      <c r="E711" s="77"/>
      <c r="K711" s="75"/>
      <c r="L711" s="76"/>
      <c r="M711" s="75"/>
      <c r="N711" s="75"/>
      <c r="O711" s="76"/>
    </row>
    <row r="712" ht="15.75" customHeight="1">
      <c r="E712" s="77"/>
      <c r="K712" s="75"/>
      <c r="L712" s="76"/>
      <c r="M712" s="75"/>
      <c r="N712" s="75"/>
      <c r="O712" s="76"/>
    </row>
    <row r="713" ht="15.75" customHeight="1">
      <c r="E713" s="77"/>
      <c r="K713" s="75"/>
      <c r="L713" s="76"/>
      <c r="M713" s="75"/>
      <c r="N713" s="75"/>
      <c r="O713" s="76"/>
    </row>
    <row r="714" ht="15.75" customHeight="1">
      <c r="E714" s="77"/>
      <c r="K714" s="75"/>
      <c r="L714" s="76"/>
      <c r="M714" s="75"/>
      <c r="N714" s="75"/>
      <c r="O714" s="76"/>
    </row>
    <row r="715" ht="15.75" customHeight="1">
      <c r="E715" s="77"/>
      <c r="K715" s="75"/>
      <c r="L715" s="76"/>
      <c r="M715" s="75"/>
      <c r="N715" s="75"/>
      <c r="O715" s="76"/>
    </row>
    <row r="716" ht="15.75" customHeight="1">
      <c r="E716" s="77"/>
      <c r="K716" s="75"/>
      <c r="L716" s="76"/>
      <c r="M716" s="75"/>
      <c r="N716" s="75"/>
      <c r="O716" s="76"/>
    </row>
    <row r="717" ht="15.75" customHeight="1">
      <c r="E717" s="77"/>
      <c r="K717" s="75"/>
      <c r="L717" s="76"/>
      <c r="M717" s="75"/>
      <c r="N717" s="75"/>
      <c r="O717" s="76"/>
    </row>
    <row r="718" ht="15.75" customHeight="1">
      <c r="E718" s="77"/>
      <c r="K718" s="75"/>
      <c r="L718" s="76"/>
      <c r="M718" s="75"/>
      <c r="N718" s="75"/>
      <c r="O718" s="76"/>
    </row>
    <row r="719" ht="15.75" customHeight="1">
      <c r="E719" s="77"/>
      <c r="K719" s="75"/>
      <c r="L719" s="76"/>
      <c r="M719" s="75"/>
      <c r="N719" s="75"/>
      <c r="O719" s="76"/>
    </row>
    <row r="720" ht="15.75" customHeight="1">
      <c r="E720" s="77"/>
      <c r="K720" s="75"/>
      <c r="L720" s="76"/>
      <c r="M720" s="75"/>
      <c r="N720" s="75"/>
      <c r="O720" s="76"/>
    </row>
    <row r="721" ht="15.75" customHeight="1">
      <c r="E721" s="77"/>
      <c r="K721" s="75"/>
      <c r="L721" s="76"/>
      <c r="M721" s="75"/>
      <c r="N721" s="75"/>
      <c r="O721" s="76"/>
    </row>
    <row r="722" ht="15.75" customHeight="1">
      <c r="E722" s="77"/>
      <c r="K722" s="75"/>
      <c r="L722" s="76"/>
      <c r="M722" s="75"/>
      <c r="N722" s="75"/>
      <c r="O722" s="76"/>
    </row>
    <row r="723" ht="15.75" customHeight="1">
      <c r="E723" s="77"/>
      <c r="K723" s="75"/>
      <c r="L723" s="76"/>
      <c r="M723" s="75"/>
      <c r="N723" s="75"/>
      <c r="O723" s="76"/>
    </row>
    <row r="724" ht="15.75" customHeight="1">
      <c r="E724" s="77"/>
      <c r="K724" s="75"/>
      <c r="L724" s="76"/>
      <c r="M724" s="75"/>
      <c r="N724" s="75"/>
      <c r="O724" s="76"/>
    </row>
    <row r="725" ht="15.75" customHeight="1">
      <c r="E725" s="77"/>
      <c r="K725" s="75"/>
      <c r="L725" s="76"/>
      <c r="M725" s="75"/>
      <c r="N725" s="75"/>
      <c r="O725" s="76"/>
    </row>
    <row r="726" ht="15.75" customHeight="1">
      <c r="E726" s="77"/>
      <c r="K726" s="75"/>
      <c r="L726" s="76"/>
      <c r="M726" s="75"/>
      <c r="N726" s="75"/>
      <c r="O726" s="76"/>
    </row>
    <row r="727" ht="15.75" customHeight="1">
      <c r="E727" s="77"/>
      <c r="K727" s="75"/>
      <c r="L727" s="76"/>
      <c r="M727" s="75"/>
      <c r="N727" s="75"/>
      <c r="O727" s="76"/>
    </row>
    <row r="728" ht="15.75" customHeight="1">
      <c r="E728" s="77"/>
      <c r="K728" s="75"/>
      <c r="L728" s="76"/>
      <c r="M728" s="75"/>
      <c r="N728" s="75"/>
      <c r="O728" s="76"/>
    </row>
    <row r="729" ht="15.75" customHeight="1">
      <c r="E729" s="77"/>
      <c r="K729" s="75"/>
      <c r="L729" s="76"/>
      <c r="M729" s="75"/>
      <c r="N729" s="75"/>
      <c r="O729" s="76"/>
    </row>
    <row r="730" ht="15.75" customHeight="1">
      <c r="E730" s="77"/>
      <c r="K730" s="75"/>
      <c r="L730" s="76"/>
      <c r="M730" s="75"/>
      <c r="N730" s="75"/>
      <c r="O730" s="76"/>
    </row>
    <row r="731" ht="15.75" customHeight="1">
      <c r="E731" s="77"/>
      <c r="K731" s="75"/>
      <c r="L731" s="76"/>
      <c r="M731" s="75"/>
      <c r="N731" s="75"/>
      <c r="O731" s="76"/>
    </row>
    <row r="732" ht="15.75" customHeight="1">
      <c r="E732" s="77"/>
      <c r="K732" s="75"/>
      <c r="L732" s="76"/>
      <c r="M732" s="75"/>
      <c r="N732" s="75"/>
      <c r="O732" s="76"/>
    </row>
    <row r="733" ht="15.75" customHeight="1">
      <c r="E733" s="77"/>
      <c r="K733" s="75"/>
      <c r="L733" s="76"/>
      <c r="M733" s="75"/>
      <c r="N733" s="75"/>
      <c r="O733" s="76"/>
    </row>
    <row r="734" ht="15.75" customHeight="1">
      <c r="E734" s="77"/>
      <c r="K734" s="75"/>
      <c r="L734" s="76"/>
      <c r="M734" s="75"/>
      <c r="N734" s="75"/>
      <c r="O734" s="76"/>
    </row>
    <row r="735" ht="15.75" customHeight="1">
      <c r="E735" s="77"/>
      <c r="K735" s="75"/>
      <c r="L735" s="76"/>
      <c r="M735" s="75"/>
      <c r="N735" s="75"/>
      <c r="O735" s="76"/>
    </row>
    <row r="736" ht="15.75" customHeight="1">
      <c r="E736" s="77"/>
      <c r="K736" s="75"/>
      <c r="L736" s="76"/>
      <c r="M736" s="75"/>
      <c r="N736" s="75"/>
      <c r="O736" s="76"/>
    </row>
    <row r="737" ht="15.75" customHeight="1">
      <c r="E737" s="77"/>
      <c r="K737" s="75"/>
      <c r="L737" s="76"/>
      <c r="M737" s="75"/>
      <c r="N737" s="75"/>
      <c r="O737" s="76"/>
    </row>
    <row r="738" ht="15.75" customHeight="1">
      <c r="E738" s="77"/>
      <c r="K738" s="75"/>
      <c r="L738" s="76"/>
      <c r="M738" s="75"/>
      <c r="N738" s="75"/>
      <c r="O738" s="76"/>
    </row>
    <row r="739" ht="15.75" customHeight="1">
      <c r="E739" s="77"/>
      <c r="K739" s="75"/>
      <c r="L739" s="76"/>
      <c r="M739" s="75"/>
      <c r="N739" s="75"/>
      <c r="O739" s="76"/>
    </row>
    <row r="740" ht="15.75" customHeight="1">
      <c r="E740" s="77"/>
      <c r="K740" s="75"/>
      <c r="L740" s="76"/>
      <c r="M740" s="75"/>
      <c r="N740" s="75"/>
      <c r="O740" s="76"/>
    </row>
    <row r="741" ht="15.75" customHeight="1">
      <c r="E741" s="77"/>
      <c r="K741" s="75"/>
      <c r="L741" s="76"/>
      <c r="M741" s="75"/>
      <c r="N741" s="75"/>
      <c r="O741" s="76"/>
    </row>
    <row r="742" ht="15.75" customHeight="1">
      <c r="E742" s="77"/>
      <c r="K742" s="75"/>
      <c r="L742" s="76"/>
      <c r="M742" s="75"/>
      <c r="N742" s="75"/>
      <c r="O742" s="76"/>
    </row>
    <row r="743" ht="15.75" customHeight="1">
      <c r="E743" s="77"/>
      <c r="K743" s="75"/>
      <c r="L743" s="76"/>
      <c r="M743" s="75"/>
      <c r="N743" s="75"/>
      <c r="O743" s="76"/>
    </row>
    <row r="744" ht="15.75" customHeight="1">
      <c r="E744" s="77"/>
      <c r="K744" s="75"/>
      <c r="L744" s="76"/>
      <c r="M744" s="75"/>
      <c r="N744" s="75"/>
      <c r="O744" s="76"/>
    </row>
    <row r="745" ht="15.75" customHeight="1">
      <c r="E745" s="77"/>
      <c r="K745" s="75"/>
      <c r="L745" s="76"/>
      <c r="M745" s="75"/>
      <c r="N745" s="75"/>
      <c r="O745" s="76"/>
    </row>
    <row r="746" ht="15.75" customHeight="1">
      <c r="E746" s="77"/>
      <c r="K746" s="75"/>
      <c r="L746" s="76"/>
      <c r="M746" s="75"/>
      <c r="N746" s="75"/>
      <c r="O746" s="76"/>
    </row>
    <row r="747" ht="15.75" customHeight="1">
      <c r="E747" s="77"/>
      <c r="K747" s="75"/>
      <c r="L747" s="76"/>
      <c r="M747" s="75"/>
      <c r="N747" s="75"/>
      <c r="O747" s="76"/>
    </row>
    <row r="748" ht="15.75" customHeight="1">
      <c r="E748" s="77"/>
      <c r="K748" s="75"/>
      <c r="L748" s="76"/>
      <c r="M748" s="75"/>
      <c r="N748" s="75"/>
      <c r="O748" s="76"/>
    </row>
    <row r="749" ht="15.75" customHeight="1">
      <c r="E749" s="77"/>
      <c r="K749" s="75"/>
      <c r="L749" s="76"/>
      <c r="M749" s="75"/>
      <c r="N749" s="75"/>
      <c r="O749" s="76"/>
    </row>
    <row r="750" ht="15.75" customHeight="1">
      <c r="E750" s="77"/>
      <c r="K750" s="75"/>
      <c r="L750" s="76"/>
      <c r="M750" s="75"/>
      <c r="N750" s="75"/>
      <c r="O750" s="76"/>
    </row>
    <row r="751" ht="15.75" customHeight="1">
      <c r="E751" s="77"/>
      <c r="K751" s="75"/>
      <c r="L751" s="76"/>
      <c r="M751" s="75"/>
      <c r="N751" s="75"/>
      <c r="O751" s="76"/>
    </row>
    <row r="752" ht="15.75" customHeight="1">
      <c r="E752" s="77"/>
      <c r="K752" s="75"/>
      <c r="L752" s="76"/>
      <c r="M752" s="75"/>
      <c r="N752" s="75"/>
      <c r="O752" s="76"/>
    </row>
    <row r="753" ht="15.75" customHeight="1">
      <c r="E753" s="77"/>
      <c r="K753" s="75"/>
      <c r="L753" s="76"/>
      <c r="M753" s="75"/>
      <c r="N753" s="75"/>
      <c r="O753" s="76"/>
    </row>
    <row r="754" ht="15.75" customHeight="1">
      <c r="E754" s="77"/>
      <c r="K754" s="75"/>
      <c r="L754" s="76"/>
      <c r="M754" s="75"/>
      <c r="N754" s="75"/>
      <c r="O754" s="76"/>
    </row>
    <row r="755" ht="15.75" customHeight="1">
      <c r="E755" s="77"/>
      <c r="K755" s="75"/>
      <c r="L755" s="76"/>
      <c r="M755" s="75"/>
      <c r="N755" s="75"/>
      <c r="O755" s="76"/>
    </row>
    <row r="756" ht="15.75" customHeight="1">
      <c r="E756" s="77"/>
      <c r="K756" s="75"/>
      <c r="L756" s="76"/>
      <c r="M756" s="75"/>
      <c r="N756" s="75"/>
      <c r="O756" s="76"/>
    </row>
    <row r="757" ht="15.75" customHeight="1">
      <c r="E757" s="77"/>
      <c r="K757" s="75"/>
      <c r="L757" s="76"/>
      <c r="M757" s="75"/>
      <c r="N757" s="75"/>
      <c r="O757" s="76"/>
    </row>
    <row r="758" ht="15.75" customHeight="1">
      <c r="E758" s="77"/>
      <c r="K758" s="75"/>
      <c r="L758" s="76"/>
      <c r="M758" s="75"/>
      <c r="N758" s="75"/>
      <c r="O758" s="76"/>
    </row>
    <row r="759" ht="15.75" customHeight="1">
      <c r="E759" s="77"/>
      <c r="K759" s="75"/>
      <c r="L759" s="76"/>
      <c r="M759" s="75"/>
      <c r="N759" s="75"/>
      <c r="O759" s="76"/>
    </row>
    <row r="760" ht="15.75" customHeight="1">
      <c r="E760" s="77"/>
      <c r="K760" s="75"/>
      <c r="L760" s="76"/>
      <c r="M760" s="75"/>
      <c r="N760" s="75"/>
      <c r="O760" s="76"/>
    </row>
    <row r="761" ht="15.75" customHeight="1">
      <c r="E761" s="77"/>
      <c r="K761" s="75"/>
      <c r="L761" s="76"/>
      <c r="M761" s="75"/>
      <c r="N761" s="75"/>
      <c r="O761" s="76"/>
    </row>
    <row r="762" ht="15.75" customHeight="1">
      <c r="E762" s="77"/>
      <c r="K762" s="75"/>
      <c r="L762" s="76"/>
      <c r="M762" s="75"/>
      <c r="N762" s="75"/>
      <c r="O762" s="76"/>
    </row>
    <row r="763" ht="15.75" customHeight="1">
      <c r="E763" s="77"/>
      <c r="K763" s="75"/>
      <c r="L763" s="76"/>
      <c r="M763" s="75"/>
      <c r="N763" s="75"/>
      <c r="O763" s="76"/>
    </row>
    <row r="764" ht="15.75" customHeight="1">
      <c r="E764" s="77"/>
      <c r="K764" s="75"/>
      <c r="L764" s="76"/>
      <c r="M764" s="75"/>
      <c r="N764" s="75"/>
      <c r="O764" s="76"/>
    </row>
    <row r="765" ht="15.75" customHeight="1">
      <c r="E765" s="77"/>
      <c r="K765" s="75"/>
      <c r="L765" s="76"/>
      <c r="M765" s="75"/>
      <c r="N765" s="75"/>
      <c r="O765" s="76"/>
    </row>
    <row r="766" ht="15.75" customHeight="1">
      <c r="E766" s="77"/>
      <c r="K766" s="75"/>
      <c r="L766" s="76"/>
      <c r="M766" s="75"/>
      <c r="N766" s="75"/>
      <c r="O766" s="76"/>
    </row>
    <row r="767" ht="15.75" customHeight="1">
      <c r="E767" s="77"/>
      <c r="K767" s="75"/>
      <c r="L767" s="76"/>
      <c r="M767" s="75"/>
      <c r="N767" s="75"/>
      <c r="O767" s="76"/>
    </row>
    <row r="768" ht="15.75" customHeight="1">
      <c r="E768" s="77"/>
      <c r="K768" s="75"/>
      <c r="L768" s="76"/>
      <c r="M768" s="75"/>
      <c r="N768" s="75"/>
      <c r="O768" s="76"/>
    </row>
    <row r="769" ht="15.75" customHeight="1">
      <c r="E769" s="77"/>
      <c r="K769" s="75"/>
      <c r="L769" s="76"/>
      <c r="M769" s="75"/>
      <c r="N769" s="75"/>
      <c r="O769" s="76"/>
    </row>
    <row r="770" ht="15.75" customHeight="1">
      <c r="E770" s="77"/>
      <c r="K770" s="75"/>
      <c r="L770" s="76"/>
      <c r="M770" s="75"/>
      <c r="N770" s="75"/>
      <c r="O770" s="76"/>
    </row>
    <row r="771" ht="15.75" customHeight="1">
      <c r="E771" s="77"/>
      <c r="K771" s="75"/>
      <c r="L771" s="76"/>
      <c r="M771" s="75"/>
      <c r="N771" s="75"/>
      <c r="O771" s="76"/>
    </row>
    <row r="772" ht="15.75" customHeight="1">
      <c r="E772" s="77"/>
      <c r="K772" s="75"/>
      <c r="L772" s="76"/>
      <c r="M772" s="75"/>
      <c r="N772" s="75"/>
      <c r="O772" s="76"/>
    </row>
    <row r="773" ht="15.75" customHeight="1">
      <c r="E773" s="77"/>
      <c r="K773" s="75"/>
      <c r="L773" s="76"/>
      <c r="M773" s="75"/>
      <c r="N773" s="75"/>
      <c r="O773" s="76"/>
    </row>
    <row r="774" ht="15.75" customHeight="1">
      <c r="E774" s="77"/>
      <c r="K774" s="75"/>
      <c r="L774" s="76"/>
      <c r="M774" s="75"/>
      <c r="N774" s="75"/>
      <c r="O774" s="76"/>
    </row>
    <row r="775" ht="15.75" customHeight="1">
      <c r="E775" s="77"/>
      <c r="K775" s="75"/>
      <c r="L775" s="76"/>
      <c r="M775" s="75"/>
      <c r="N775" s="75"/>
      <c r="O775" s="76"/>
    </row>
    <row r="776" ht="15.75" customHeight="1">
      <c r="E776" s="77"/>
      <c r="K776" s="75"/>
      <c r="L776" s="76"/>
      <c r="M776" s="75"/>
      <c r="N776" s="75"/>
      <c r="O776" s="76"/>
    </row>
    <row r="777" ht="15.75" customHeight="1">
      <c r="E777" s="77"/>
      <c r="K777" s="75"/>
      <c r="L777" s="76"/>
      <c r="M777" s="75"/>
      <c r="N777" s="75"/>
      <c r="O777" s="76"/>
    </row>
    <row r="778" ht="15.75" customHeight="1">
      <c r="E778" s="77"/>
      <c r="K778" s="75"/>
      <c r="L778" s="76"/>
      <c r="M778" s="75"/>
      <c r="N778" s="75"/>
      <c r="O778" s="76"/>
    </row>
    <row r="779" ht="15.75" customHeight="1">
      <c r="E779" s="77"/>
      <c r="K779" s="75"/>
      <c r="L779" s="76"/>
      <c r="M779" s="75"/>
      <c r="N779" s="75"/>
      <c r="O779" s="76"/>
    </row>
    <row r="780" ht="15.75" customHeight="1">
      <c r="E780" s="77"/>
      <c r="K780" s="75"/>
      <c r="L780" s="76"/>
      <c r="M780" s="75"/>
      <c r="N780" s="75"/>
      <c r="O780" s="76"/>
    </row>
    <row r="781" ht="15.75" customHeight="1">
      <c r="E781" s="77"/>
      <c r="K781" s="75"/>
      <c r="L781" s="76"/>
      <c r="M781" s="75"/>
      <c r="N781" s="75"/>
      <c r="O781" s="76"/>
    </row>
    <row r="782" ht="15.75" customHeight="1">
      <c r="E782" s="77"/>
      <c r="K782" s="75"/>
      <c r="L782" s="76"/>
      <c r="M782" s="75"/>
      <c r="N782" s="75"/>
      <c r="O782" s="76"/>
    </row>
    <row r="783" ht="15.75" customHeight="1">
      <c r="E783" s="77"/>
      <c r="K783" s="75"/>
      <c r="L783" s="76"/>
      <c r="M783" s="75"/>
      <c r="N783" s="75"/>
      <c r="O783" s="76"/>
    </row>
    <row r="784" ht="15.75" customHeight="1">
      <c r="E784" s="77"/>
      <c r="K784" s="75"/>
      <c r="L784" s="76"/>
      <c r="M784" s="75"/>
      <c r="N784" s="75"/>
      <c r="O784" s="76"/>
    </row>
    <row r="785" ht="15.75" customHeight="1">
      <c r="E785" s="77"/>
      <c r="K785" s="75"/>
      <c r="L785" s="76"/>
      <c r="M785" s="75"/>
      <c r="N785" s="75"/>
      <c r="O785" s="76"/>
    </row>
    <row r="786" ht="15.75" customHeight="1">
      <c r="E786" s="77"/>
      <c r="K786" s="75"/>
      <c r="L786" s="76"/>
      <c r="M786" s="75"/>
      <c r="N786" s="75"/>
      <c r="O786" s="76"/>
    </row>
    <row r="787" ht="15.75" customHeight="1">
      <c r="E787" s="77"/>
      <c r="K787" s="75"/>
      <c r="L787" s="76"/>
      <c r="M787" s="75"/>
      <c r="N787" s="75"/>
      <c r="O787" s="76"/>
    </row>
    <row r="788" ht="15.75" customHeight="1">
      <c r="E788" s="77"/>
      <c r="K788" s="75"/>
      <c r="L788" s="76"/>
      <c r="M788" s="75"/>
      <c r="N788" s="75"/>
      <c r="O788" s="76"/>
    </row>
    <row r="789" ht="15.75" customHeight="1">
      <c r="E789" s="77"/>
      <c r="K789" s="75"/>
      <c r="L789" s="76"/>
      <c r="M789" s="75"/>
      <c r="N789" s="75"/>
      <c r="O789" s="76"/>
    </row>
    <row r="790" ht="15.75" customHeight="1">
      <c r="E790" s="77"/>
      <c r="K790" s="75"/>
      <c r="L790" s="76"/>
      <c r="M790" s="75"/>
      <c r="N790" s="75"/>
      <c r="O790" s="76"/>
    </row>
    <row r="791" ht="15.75" customHeight="1">
      <c r="E791" s="77"/>
      <c r="K791" s="75"/>
      <c r="L791" s="76"/>
      <c r="M791" s="75"/>
      <c r="N791" s="75"/>
      <c r="O791" s="76"/>
    </row>
    <row r="792" ht="15.75" customHeight="1">
      <c r="E792" s="77"/>
      <c r="K792" s="75"/>
      <c r="L792" s="76"/>
      <c r="M792" s="75"/>
      <c r="N792" s="75"/>
      <c r="O792" s="76"/>
    </row>
    <row r="793" ht="15.75" customHeight="1">
      <c r="E793" s="77"/>
      <c r="K793" s="75"/>
      <c r="L793" s="76"/>
      <c r="M793" s="75"/>
      <c r="N793" s="75"/>
      <c r="O793" s="76"/>
    </row>
    <row r="794" ht="15.75" customHeight="1">
      <c r="E794" s="77"/>
      <c r="K794" s="75"/>
      <c r="L794" s="76"/>
      <c r="M794" s="75"/>
      <c r="N794" s="75"/>
      <c r="O794" s="76"/>
    </row>
    <row r="795" ht="15.75" customHeight="1">
      <c r="E795" s="77"/>
      <c r="K795" s="75"/>
      <c r="L795" s="76"/>
      <c r="M795" s="75"/>
      <c r="N795" s="75"/>
      <c r="O795" s="76"/>
    </row>
    <row r="796" ht="15.75" customHeight="1">
      <c r="E796" s="77"/>
      <c r="K796" s="75"/>
      <c r="L796" s="76"/>
      <c r="M796" s="75"/>
      <c r="N796" s="75"/>
      <c r="O796" s="76"/>
    </row>
    <row r="797" ht="15.75" customHeight="1">
      <c r="E797" s="77"/>
      <c r="K797" s="75"/>
      <c r="L797" s="76"/>
      <c r="M797" s="75"/>
      <c r="N797" s="75"/>
      <c r="O797" s="76"/>
    </row>
    <row r="798" ht="15.75" customHeight="1">
      <c r="E798" s="77"/>
      <c r="K798" s="75"/>
      <c r="L798" s="76"/>
      <c r="M798" s="75"/>
      <c r="N798" s="75"/>
      <c r="O798" s="76"/>
    </row>
    <row r="799" ht="15.75" customHeight="1">
      <c r="E799" s="77"/>
      <c r="K799" s="75"/>
      <c r="L799" s="76"/>
      <c r="M799" s="75"/>
      <c r="N799" s="75"/>
      <c r="O799" s="76"/>
    </row>
    <row r="800" ht="15.75" customHeight="1">
      <c r="E800" s="77"/>
      <c r="K800" s="75"/>
      <c r="L800" s="76"/>
      <c r="M800" s="75"/>
      <c r="N800" s="75"/>
      <c r="O800" s="76"/>
    </row>
    <row r="801" ht="15.75" customHeight="1">
      <c r="E801" s="77"/>
      <c r="K801" s="75"/>
      <c r="L801" s="76"/>
      <c r="M801" s="75"/>
      <c r="N801" s="75"/>
      <c r="O801" s="76"/>
    </row>
    <row r="802" ht="15.75" customHeight="1">
      <c r="E802" s="77"/>
      <c r="K802" s="75"/>
      <c r="L802" s="76"/>
      <c r="M802" s="75"/>
      <c r="N802" s="75"/>
      <c r="O802" s="76"/>
    </row>
    <row r="803" ht="15.75" customHeight="1">
      <c r="E803" s="77"/>
      <c r="K803" s="75"/>
      <c r="L803" s="76"/>
      <c r="M803" s="75"/>
      <c r="N803" s="75"/>
      <c r="O803" s="76"/>
    </row>
    <row r="804" ht="15.75" customHeight="1">
      <c r="E804" s="77"/>
      <c r="K804" s="75"/>
      <c r="L804" s="76"/>
      <c r="M804" s="75"/>
      <c r="N804" s="75"/>
      <c r="O804" s="76"/>
    </row>
    <row r="805" ht="15.75" customHeight="1">
      <c r="E805" s="77"/>
      <c r="K805" s="75"/>
      <c r="L805" s="76"/>
      <c r="M805" s="75"/>
      <c r="N805" s="75"/>
      <c r="O805" s="76"/>
    </row>
    <row r="806" ht="15.75" customHeight="1">
      <c r="E806" s="77"/>
      <c r="K806" s="75"/>
      <c r="L806" s="76"/>
      <c r="M806" s="75"/>
      <c r="N806" s="75"/>
      <c r="O806" s="76"/>
    </row>
    <row r="807" ht="15.75" customHeight="1">
      <c r="E807" s="77"/>
      <c r="K807" s="75"/>
      <c r="L807" s="76"/>
      <c r="M807" s="75"/>
      <c r="N807" s="75"/>
      <c r="O807" s="76"/>
    </row>
    <row r="808" ht="15.75" customHeight="1">
      <c r="E808" s="77"/>
      <c r="K808" s="75"/>
      <c r="L808" s="76"/>
      <c r="M808" s="75"/>
      <c r="N808" s="75"/>
      <c r="O808" s="76"/>
    </row>
    <row r="809" ht="15.75" customHeight="1">
      <c r="E809" s="77"/>
      <c r="K809" s="75"/>
      <c r="L809" s="76"/>
      <c r="M809" s="75"/>
      <c r="N809" s="75"/>
      <c r="O809" s="76"/>
    </row>
    <row r="810" ht="15.75" customHeight="1">
      <c r="E810" s="77"/>
      <c r="K810" s="75"/>
      <c r="L810" s="76"/>
      <c r="M810" s="75"/>
      <c r="N810" s="75"/>
      <c r="O810" s="76"/>
    </row>
    <row r="811" ht="15.75" customHeight="1">
      <c r="E811" s="77"/>
      <c r="K811" s="75"/>
      <c r="L811" s="76"/>
      <c r="M811" s="75"/>
      <c r="N811" s="75"/>
      <c r="O811" s="76"/>
    </row>
    <row r="812" ht="15.75" customHeight="1">
      <c r="E812" s="77"/>
      <c r="K812" s="75"/>
      <c r="L812" s="76"/>
      <c r="M812" s="75"/>
      <c r="N812" s="75"/>
      <c r="O812" s="76"/>
    </row>
    <row r="813" ht="15.75" customHeight="1">
      <c r="E813" s="77"/>
      <c r="K813" s="75"/>
      <c r="L813" s="76"/>
      <c r="M813" s="75"/>
      <c r="N813" s="75"/>
      <c r="O813" s="76"/>
    </row>
    <row r="814" ht="15.75" customHeight="1">
      <c r="E814" s="77"/>
      <c r="K814" s="75"/>
      <c r="L814" s="76"/>
      <c r="M814" s="75"/>
      <c r="N814" s="75"/>
      <c r="O814" s="76"/>
    </row>
    <row r="815" ht="15.75" customHeight="1">
      <c r="E815" s="77"/>
      <c r="K815" s="75"/>
      <c r="L815" s="76"/>
      <c r="M815" s="75"/>
      <c r="N815" s="75"/>
      <c r="O815" s="76"/>
    </row>
    <row r="816" ht="15.75" customHeight="1">
      <c r="E816" s="77"/>
      <c r="K816" s="75"/>
      <c r="L816" s="76"/>
      <c r="M816" s="75"/>
      <c r="N816" s="75"/>
      <c r="O816" s="76"/>
    </row>
    <row r="817" ht="15.75" customHeight="1">
      <c r="E817" s="77"/>
      <c r="K817" s="75"/>
      <c r="L817" s="76"/>
      <c r="M817" s="75"/>
      <c r="N817" s="75"/>
      <c r="O817" s="76"/>
    </row>
    <row r="818" ht="15.75" customHeight="1">
      <c r="E818" s="77"/>
      <c r="K818" s="75"/>
      <c r="L818" s="76"/>
      <c r="M818" s="75"/>
      <c r="N818" s="75"/>
      <c r="O818" s="76"/>
    </row>
    <row r="819" ht="15.75" customHeight="1">
      <c r="E819" s="77"/>
      <c r="K819" s="75"/>
      <c r="L819" s="76"/>
      <c r="M819" s="75"/>
      <c r="N819" s="75"/>
      <c r="O819" s="76"/>
    </row>
    <row r="820" ht="15.75" customHeight="1">
      <c r="E820" s="77"/>
      <c r="K820" s="75"/>
      <c r="L820" s="76"/>
      <c r="M820" s="75"/>
      <c r="N820" s="75"/>
      <c r="O820" s="76"/>
    </row>
    <row r="821" ht="15.75" customHeight="1">
      <c r="E821" s="77"/>
      <c r="K821" s="75"/>
      <c r="L821" s="76"/>
      <c r="M821" s="75"/>
      <c r="N821" s="75"/>
      <c r="O821" s="76"/>
    </row>
    <row r="822" ht="15.75" customHeight="1">
      <c r="E822" s="77"/>
      <c r="K822" s="75"/>
      <c r="L822" s="76"/>
      <c r="M822" s="75"/>
      <c r="N822" s="75"/>
      <c r="O822" s="76"/>
    </row>
    <row r="823" ht="15.75" customHeight="1">
      <c r="E823" s="77"/>
      <c r="K823" s="75"/>
      <c r="L823" s="76"/>
      <c r="M823" s="75"/>
      <c r="N823" s="75"/>
      <c r="O823" s="76"/>
    </row>
    <row r="824" ht="15.75" customHeight="1">
      <c r="E824" s="77"/>
      <c r="K824" s="75"/>
      <c r="L824" s="76"/>
      <c r="M824" s="75"/>
      <c r="N824" s="75"/>
      <c r="O824" s="76"/>
    </row>
    <row r="825" ht="15.75" customHeight="1">
      <c r="E825" s="77"/>
      <c r="K825" s="75"/>
      <c r="L825" s="76"/>
      <c r="M825" s="75"/>
      <c r="N825" s="75"/>
      <c r="O825" s="76"/>
    </row>
    <row r="826" ht="15.75" customHeight="1">
      <c r="E826" s="77"/>
      <c r="K826" s="75"/>
      <c r="L826" s="76"/>
      <c r="M826" s="75"/>
      <c r="N826" s="75"/>
      <c r="O826" s="76"/>
    </row>
    <row r="827" ht="15.75" customHeight="1">
      <c r="E827" s="77"/>
      <c r="K827" s="75"/>
      <c r="L827" s="76"/>
      <c r="M827" s="75"/>
      <c r="N827" s="75"/>
      <c r="O827" s="76"/>
    </row>
    <row r="828" ht="15.75" customHeight="1">
      <c r="E828" s="77"/>
      <c r="K828" s="75"/>
      <c r="L828" s="76"/>
      <c r="M828" s="75"/>
      <c r="N828" s="75"/>
      <c r="O828" s="76"/>
    </row>
    <row r="829" ht="15.75" customHeight="1">
      <c r="E829" s="77"/>
      <c r="K829" s="75"/>
      <c r="L829" s="76"/>
      <c r="M829" s="75"/>
      <c r="N829" s="75"/>
      <c r="O829" s="76"/>
    </row>
    <row r="830" ht="15.75" customHeight="1">
      <c r="E830" s="77"/>
      <c r="K830" s="75"/>
      <c r="L830" s="76"/>
      <c r="M830" s="75"/>
      <c r="N830" s="75"/>
      <c r="O830" s="76"/>
    </row>
    <row r="831" ht="15.75" customHeight="1">
      <c r="E831" s="77"/>
      <c r="K831" s="75"/>
      <c r="L831" s="76"/>
      <c r="M831" s="75"/>
      <c r="N831" s="75"/>
      <c r="O831" s="76"/>
    </row>
    <row r="832" ht="15.75" customHeight="1">
      <c r="E832" s="77"/>
      <c r="K832" s="75"/>
      <c r="L832" s="76"/>
      <c r="M832" s="75"/>
      <c r="N832" s="75"/>
      <c r="O832" s="76"/>
    </row>
    <row r="833" ht="15.75" customHeight="1">
      <c r="E833" s="77"/>
      <c r="K833" s="75"/>
      <c r="L833" s="76"/>
      <c r="M833" s="75"/>
      <c r="N833" s="75"/>
      <c r="O833" s="76"/>
    </row>
    <row r="834" ht="15.75" customHeight="1">
      <c r="E834" s="77"/>
      <c r="K834" s="75"/>
      <c r="L834" s="76"/>
      <c r="M834" s="75"/>
      <c r="N834" s="75"/>
      <c r="O834" s="76"/>
    </row>
    <row r="835" ht="15.75" customHeight="1">
      <c r="E835" s="77"/>
      <c r="K835" s="75"/>
      <c r="L835" s="76"/>
      <c r="M835" s="75"/>
      <c r="N835" s="75"/>
      <c r="O835" s="76"/>
    </row>
    <row r="836" ht="15.75" customHeight="1">
      <c r="E836" s="77"/>
      <c r="K836" s="75"/>
      <c r="L836" s="76"/>
      <c r="M836" s="75"/>
      <c r="N836" s="75"/>
      <c r="O836" s="76"/>
    </row>
    <row r="837" ht="15.75" customHeight="1">
      <c r="E837" s="77"/>
      <c r="K837" s="75"/>
      <c r="L837" s="76"/>
      <c r="M837" s="75"/>
      <c r="N837" s="75"/>
      <c r="O837" s="76"/>
    </row>
    <row r="838" ht="15.75" customHeight="1">
      <c r="E838" s="77"/>
      <c r="K838" s="75"/>
      <c r="L838" s="76"/>
      <c r="M838" s="75"/>
      <c r="N838" s="75"/>
      <c r="O838" s="76"/>
    </row>
    <row r="839" ht="15.75" customHeight="1">
      <c r="E839" s="77"/>
      <c r="K839" s="75"/>
      <c r="L839" s="76"/>
      <c r="M839" s="75"/>
      <c r="N839" s="75"/>
      <c r="O839" s="76"/>
    </row>
    <row r="840" ht="15.75" customHeight="1">
      <c r="E840" s="77"/>
      <c r="K840" s="75"/>
      <c r="L840" s="76"/>
      <c r="M840" s="75"/>
      <c r="N840" s="75"/>
      <c r="O840" s="76"/>
    </row>
    <row r="841" ht="15.75" customHeight="1">
      <c r="E841" s="77"/>
      <c r="K841" s="75"/>
      <c r="L841" s="76"/>
      <c r="M841" s="75"/>
      <c r="N841" s="75"/>
      <c r="O841" s="76"/>
    </row>
    <row r="842" ht="15.75" customHeight="1">
      <c r="E842" s="77"/>
      <c r="K842" s="75"/>
      <c r="L842" s="76"/>
      <c r="M842" s="75"/>
      <c r="N842" s="75"/>
      <c r="O842" s="76"/>
    </row>
    <row r="843" ht="15.75" customHeight="1">
      <c r="E843" s="77"/>
      <c r="K843" s="75"/>
      <c r="L843" s="76"/>
      <c r="M843" s="75"/>
      <c r="N843" s="75"/>
      <c r="O843" s="76"/>
    </row>
    <row r="844" ht="15.75" customHeight="1">
      <c r="E844" s="77"/>
      <c r="K844" s="75"/>
      <c r="L844" s="76"/>
      <c r="M844" s="75"/>
      <c r="N844" s="75"/>
      <c r="O844" s="76"/>
    </row>
    <row r="845" ht="15.75" customHeight="1">
      <c r="E845" s="77"/>
      <c r="K845" s="75"/>
      <c r="L845" s="76"/>
      <c r="M845" s="75"/>
      <c r="N845" s="75"/>
      <c r="O845" s="76"/>
    </row>
    <row r="846" ht="15.75" customHeight="1">
      <c r="E846" s="77"/>
      <c r="K846" s="75"/>
      <c r="L846" s="76"/>
      <c r="M846" s="75"/>
      <c r="N846" s="75"/>
      <c r="O846" s="76"/>
    </row>
    <row r="847" ht="15.75" customHeight="1">
      <c r="E847" s="77"/>
      <c r="K847" s="75"/>
      <c r="L847" s="76"/>
      <c r="M847" s="75"/>
      <c r="N847" s="75"/>
      <c r="O847" s="76"/>
    </row>
    <row r="848" ht="15.75" customHeight="1">
      <c r="E848" s="77"/>
      <c r="K848" s="75"/>
      <c r="L848" s="76"/>
      <c r="M848" s="75"/>
      <c r="N848" s="75"/>
      <c r="O848" s="76"/>
    </row>
    <row r="849" ht="15.75" customHeight="1">
      <c r="E849" s="77"/>
      <c r="K849" s="75"/>
      <c r="L849" s="76"/>
      <c r="M849" s="75"/>
      <c r="N849" s="75"/>
      <c r="O849" s="76"/>
    </row>
    <row r="850" ht="15.75" customHeight="1">
      <c r="E850" s="77"/>
      <c r="K850" s="75"/>
      <c r="L850" s="76"/>
      <c r="M850" s="75"/>
      <c r="N850" s="75"/>
      <c r="O850" s="76"/>
    </row>
    <row r="851" ht="15.75" customHeight="1">
      <c r="E851" s="77"/>
      <c r="K851" s="75"/>
      <c r="L851" s="76"/>
      <c r="M851" s="75"/>
      <c r="N851" s="75"/>
      <c r="O851" s="76"/>
    </row>
    <row r="852" ht="15.75" customHeight="1">
      <c r="E852" s="77"/>
      <c r="K852" s="75"/>
      <c r="L852" s="76"/>
      <c r="M852" s="75"/>
      <c r="N852" s="75"/>
      <c r="O852" s="76"/>
    </row>
    <row r="853" ht="15.75" customHeight="1">
      <c r="E853" s="77"/>
      <c r="K853" s="75"/>
      <c r="L853" s="76"/>
      <c r="M853" s="75"/>
      <c r="N853" s="75"/>
      <c r="O853" s="76"/>
    </row>
    <row r="854" ht="15.75" customHeight="1">
      <c r="E854" s="77"/>
      <c r="K854" s="75"/>
      <c r="L854" s="76"/>
      <c r="M854" s="75"/>
      <c r="N854" s="75"/>
      <c r="O854" s="76"/>
    </row>
    <row r="855" ht="15.75" customHeight="1">
      <c r="E855" s="77"/>
      <c r="K855" s="75"/>
      <c r="L855" s="76"/>
      <c r="M855" s="75"/>
      <c r="N855" s="75"/>
      <c r="O855" s="76"/>
    </row>
    <row r="856" ht="15.75" customHeight="1">
      <c r="E856" s="77"/>
      <c r="K856" s="75"/>
      <c r="L856" s="76"/>
      <c r="M856" s="75"/>
      <c r="N856" s="75"/>
      <c r="O856" s="76"/>
    </row>
    <row r="857" ht="15.75" customHeight="1">
      <c r="E857" s="77"/>
      <c r="K857" s="75"/>
      <c r="L857" s="76"/>
      <c r="M857" s="75"/>
      <c r="N857" s="75"/>
      <c r="O857" s="76"/>
    </row>
    <row r="858" ht="15.75" customHeight="1">
      <c r="E858" s="77"/>
      <c r="K858" s="75"/>
      <c r="L858" s="76"/>
      <c r="M858" s="75"/>
      <c r="N858" s="75"/>
      <c r="O858" s="76"/>
    </row>
    <row r="859" ht="15.75" customHeight="1">
      <c r="E859" s="77"/>
      <c r="K859" s="75"/>
      <c r="L859" s="76"/>
      <c r="M859" s="75"/>
      <c r="N859" s="75"/>
      <c r="O859" s="76"/>
    </row>
    <row r="860" ht="15.75" customHeight="1">
      <c r="E860" s="77"/>
      <c r="K860" s="75"/>
      <c r="L860" s="76"/>
      <c r="M860" s="75"/>
      <c r="N860" s="75"/>
      <c r="O860" s="76"/>
    </row>
    <row r="861" ht="15.75" customHeight="1">
      <c r="E861" s="77"/>
      <c r="K861" s="75"/>
      <c r="L861" s="76"/>
      <c r="M861" s="75"/>
      <c r="N861" s="75"/>
      <c r="O861" s="76"/>
    </row>
    <row r="862" ht="15.75" customHeight="1">
      <c r="E862" s="77"/>
      <c r="K862" s="75"/>
      <c r="L862" s="76"/>
      <c r="M862" s="75"/>
      <c r="N862" s="75"/>
      <c r="O862" s="76"/>
    </row>
    <row r="863" ht="15.75" customHeight="1">
      <c r="E863" s="77"/>
      <c r="K863" s="75"/>
      <c r="L863" s="76"/>
      <c r="M863" s="75"/>
      <c r="N863" s="75"/>
      <c r="O863" s="76"/>
    </row>
    <row r="864" ht="15.75" customHeight="1">
      <c r="E864" s="77"/>
      <c r="K864" s="75"/>
      <c r="L864" s="76"/>
      <c r="M864" s="75"/>
      <c r="N864" s="75"/>
      <c r="O864" s="76"/>
    </row>
    <row r="865" ht="15.75" customHeight="1">
      <c r="E865" s="77"/>
      <c r="K865" s="75"/>
      <c r="L865" s="76"/>
      <c r="M865" s="75"/>
      <c r="N865" s="75"/>
      <c r="O865" s="76"/>
    </row>
    <row r="866" ht="15.75" customHeight="1">
      <c r="E866" s="77"/>
      <c r="K866" s="75"/>
      <c r="L866" s="76"/>
      <c r="M866" s="75"/>
      <c r="N866" s="75"/>
      <c r="O866" s="76"/>
    </row>
    <row r="867" ht="15.75" customHeight="1">
      <c r="E867" s="77"/>
      <c r="K867" s="75"/>
      <c r="L867" s="76"/>
      <c r="M867" s="75"/>
      <c r="N867" s="75"/>
      <c r="O867" s="76"/>
    </row>
    <row r="868" ht="15.75" customHeight="1">
      <c r="E868" s="77"/>
      <c r="K868" s="75"/>
      <c r="L868" s="76"/>
      <c r="M868" s="75"/>
      <c r="N868" s="75"/>
      <c r="O868" s="76"/>
    </row>
    <row r="869" ht="15.75" customHeight="1">
      <c r="E869" s="77"/>
      <c r="K869" s="75"/>
      <c r="L869" s="76"/>
      <c r="M869" s="75"/>
      <c r="N869" s="75"/>
      <c r="O869" s="76"/>
    </row>
    <row r="870" ht="15.75" customHeight="1">
      <c r="E870" s="77"/>
      <c r="K870" s="75"/>
      <c r="L870" s="76"/>
      <c r="M870" s="75"/>
      <c r="N870" s="75"/>
      <c r="O870" s="76"/>
    </row>
    <row r="871" ht="15.75" customHeight="1">
      <c r="E871" s="77"/>
      <c r="K871" s="75"/>
      <c r="L871" s="76"/>
      <c r="M871" s="75"/>
      <c r="N871" s="75"/>
      <c r="O871" s="76"/>
    </row>
    <row r="872" ht="15.75" customHeight="1">
      <c r="E872" s="77"/>
      <c r="K872" s="75"/>
      <c r="L872" s="76"/>
      <c r="M872" s="75"/>
      <c r="N872" s="75"/>
      <c r="O872" s="76"/>
    </row>
    <row r="873" ht="15.75" customHeight="1">
      <c r="E873" s="77"/>
      <c r="K873" s="75"/>
      <c r="L873" s="76"/>
      <c r="M873" s="75"/>
      <c r="N873" s="75"/>
      <c r="O873" s="76"/>
    </row>
    <row r="874" ht="15.75" customHeight="1">
      <c r="E874" s="77"/>
      <c r="K874" s="75"/>
      <c r="L874" s="76"/>
      <c r="M874" s="75"/>
      <c r="N874" s="75"/>
      <c r="O874" s="76"/>
    </row>
    <row r="875" ht="15.75" customHeight="1">
      <c r="E875" s="77"/>
      <c r="K875" s="75"/>
      <c r="L875" s="76"/>
      <c r="M875" s="75"/>
      <c r="N875" s="75"/>
      <c r="O875" s="76"/>
    </row>
    <row r="876" ht="15.75" customHeight="1">
      <c r="E876" s="77"/>
      <c r="K876" s="75"/>
      <c r="L876" s="76"/>
      <c r="M876" s="75"/>
      <c r="N876" s="75"/>
      <c r="O876" s="76"/>
    </row>
    <row r="877" ht="15.75" customHeight="1">
      <c r="E877" s="77"/>
      <c r="K877" s="75"/>
      <c r="L877" s="76"/>
      <c r="M877" s="75"/>
      <c r="N877" s="75"/>
      <c r="O877" s="76"/>
    </row>
    <row r="878" ht="15.75" customHeight="1">
      <c r="E878" s="77"/>
      <c r="K878" s="75"/>
      <c r="L878" s="76"/>
      <c r="M878" s="75"/>
      <c r="N878" s="75"/>
      <c r="O878" s="76"/>
    </row>
    <row r="879" ht="15.75" customHeight="1">
      <c r="E879" s="77"/>
      <c r="K879" s="75"/>
      <c r="L879" s="76"/>
      <c r="M879" s="75"/>
      <c r="N879" s="75"/>
      <c r="O879" s="76"/>
    </row>
    <row r="880" ht="15.75" customHeight="1">
      <c r="E880" s="77"/>
      <c r="K880" s="75"/>
      <c r="L880" s="76"/>
      <c r="M880" s="75"/>
      <c r="N880" s="75"/>
      <c r="O880" s="76"/>
    </row>
    <row r="881" ht="15.75" customHeight="1">
      <c r="E881" s="77"/>
      <c r="K881" s="75"/>
      <c r="L881" s="76"/>
      <c r="M881" s="75"/>
      <c r="N881" s="75"/>
      <c r="O881" s="76"/>
    </row>
    <row r="882" ht="15.75" customHeight="1">
      <c r="E882" s="77"/>
      <c r="K882" s="75"/>
      <c r="L882" s="76"/>
      <c r="M882" s="75"/>
      <c r="N882" s="75"/>
      <c r="O882" s="76"/>
    </row>
    <row r="883" ht="15.75" customHeight="1">
      <c r="E883" s="77"/>
      <c r="K883" s="75"/>
      <c r="L883" s="76"/>
      <c r="M883" s="75"/>
      <c r="N883" s="75"/>
      <c r="O883" s="76"/>
    </row>
    <row r="884" ht="15.75" customHeight="1">
      <c r="E884" s="77"/>
      <c r="K884" s="75"/>
      <c r="L884" s="76"/>
      <c r="M884" s="75"/>
      <c r="N884" s="75"/>
      <c r="O884" s="76"/>
    </row>
    <row r="885" ht="15.75" customHeight="1">
      <c r="E885" s="77"/>
      <c r="K885" s="75"/>
      <c r="L885" s="76"/>
      <c r="M885" s="75"/>
      <c r="N885" s="75"/>
      <c r="O885" s="76"/>
    </row>
    <row r="886" ht="15.75" customHeight="1">
      <c r="E886" s="77"/>
      <c r="K886" s="75"/>
      <c r="L886" s="76"/>
      <c r="M886" s="75"/>
      <c r="N886" s="75"/>
      <c r="O886" s="76"/>
    </row>
    <row r="887" ht="15.75" customHeight="1">
      <c r="E887" s="77"/>
      <c r="K887" s="75"/>
      <c r="L887" s="76"/>
      <c r="M887" s="75"/>
      <c r="N887" s="75"/>
      <c r="O887" s="76"/>
    </row>
    <row r="888" ht="15.75" customHeight="1">
      <c r="E888" s="77"/>
      <c r="K888" s="75"/>
      <c r="L888" s="76"/>
      <c r="M888" s="75"/>
      <c r="N888" s="75"/>
      <c r="O888" s="76"/>
    </row>
    <row r="889" ht="15.75" customHeight="1">
      <c r="E889" s="77"/>
      <c r="K889" s="75"/>
      <c r="L889" s="76"/>
      <c r="M889" s="75"/>
      <c r="N889" s="75"/>
      <c r="O889" s="76"/>
    </row>
    <row r="890" ht="15.75" customHeight="1">
      <c r="E890" s="77"/>
      <c r="K890" s="75"/>
      <c r="L890" s="76"/>
      <c r="M890" s="75"/>
      <c r="N890" s="75"/>
      <c r="O890" s="76"/>
    </row>
    <row r="891" ht="15.75" customHeight="1">
      <c r="E891" s="77"/>
      <c r="K891" s="75"/>
      <c r="L891" s="76"/>
      <c r="M891" s="75"/>
      <c r="N891" s="75"/>
      <c r="O891" s="76"/>
    </row>
    <row r="892" ht="15.75" customHeight="1">
      <c r="E892" s="77"/>
      <c r="K892" s="75"/>
      <c r="L892" s="76"/>
      <c r="M892" s="75"/>
      <c r="N892" s="75"/>
      <c r="O892" s="76"/>
    </row>
    <row r="893" ht="15.75" customHeight="1">
      <c r="E893" s="77"/>
      <c r="K893" s="75"/>
      <c r="L893" s="76"/>
      <c r="M893" s="75"/>
      <c r="N893" s="75"/>
      <c r="O893" s="76"/>
    </row>
    <row r="894" ht="15.75" customHeight="1">
      <c r="E894" s="77"/>
      <c r="K894" s="75"/>
      <c r="L894" s="76"/>
      <c r="M894" s="75"/>
      <c r="N894" s="75"/>
      <c r="O894" s="76"/>
    </row>
    <row r="895" ht="15.75" customHeight="1">
      <c r="E895" s="77"/>
      <c r="K895" s="75"/>
      <c r="L895" s="76"/>
      <c r="M895" s="75"/>
      <c r="N895" s="75"/>
      <c r="O895" s="76"/>
    </row>
    <row r="896" ht="15.75" customHeight="1">
      <c r="E896" s="77"/>
      <c r="K896" s="75"/>
      <c r="L896" s="76"/>
      <c r="M896" s="75"/>
      <c r="N896" s="75"/>
      <c r="O896" s="76"/>
    </row>
    <row r="897" ht="15.75" customHeight="1">
      <c r="E897" s="77"/>
      <c r="K897" s="75"/>
      <c r="L897" s="76"/>
      <c r="M897" s="75"/>
      <c r="N897" s="75"/>
      <c r="O897" s="76"/>
    </row>
    <row r="898" ht="15.75" customHeight="1">
      <c r="E898" s="77"/>
      <c r="K898" s="75"/>
      <c r="L898" s="76"/>
      <c r="M898" s="75"/>
      <c r="N898" s="75"/>
      <c r="O898" s="76"/>
    </row>
    <row r="899" ht="15.75" customHeight="1">
      <c r="E899" s="77"/>
      <c r="K899" s="75"/>
      <c r="L899" s="76"/>
      <c r="M899" s="75"/>
      <c r="N899" s="75"/>
      <c r="O899" s="76"/>
    </row>
    <row r="900" ht="15.75" customHeight="1">
      <c r="E900" s="77"/>
      <c r="K900" s="75"/>
      <c r="L900" s="76"/>
      <c r="M900" s="75"/>
      <c r="N900" s="75"/>
      <c r="O900" s="76"/>
    </row>
    <row r="901" ht="15.75" customHeight="1">
      <c r="E901" s="77"/>
      <c r="K901" s="75"/>
      <c r="L901" s="76"/>
      <c r="M901" s="75"/>
      <c r="N901" s="75"/>
      <c r="O901" s="76"/>
    </row>
    <row r="902" ht="15.75" customHeight="1">
      <c r="E902" s="77"/>
      <c r="K902" s="75"/>
      <c r="L902" s="76"/>
      <c r="M902" s="75"/>
      <c r="N902" s="75"/>
      <c r="O902" s="76"/>
    </row>
    <row r="903" ht="15.75" customHeight="1">
      <c r="E903" s="77"/>
      <c r="K903" s="75"/>
      <c r="L903" s="76"/>
      <c r="M903" s="75"/>
      <c r="N903" s="75"/>
      <c r="O903" s="76"/>
    </row>
    <row r="904" ht="15.75" customHeight="1">
      <c r="E904" s="77"/>
      <c r="K904" s="75"/>
      <c r="L904" s="76"/>
      <c r="M904" s="75"/>
      <c r="N904" s="75"/>
      <c r="O904" s="76"/>
    </row>
    <row r="905" ht="15.75" customHeight="1">
      <c r="E905" s="77"/>
      <c r="K905" s="75"/>
      <c r="L905" s="76"/>
      <c r="M905" s="75"/>
      <c r="N905" s="75"/>
      <c r="O905" s="76"/>
    </row>
    <row r="906" ht="15.75" customHeight="1">
      <c r="E906" s="77"/>
      <c r="K906" s="75"/>
      <c r="L906" s="76"/>
      <c r="M906" s="75"/>
      <c r="N906" s="75"/>
      <c r="O906" s="76"/>
    </row>
    <row r="907" ht="15.75" customHeight="1">
      <c r="E907" s="77"/>
      <c r="K907" s="75"/>
      <c r="L907" s="76"/>
      <c r="M907" s="75"/>
      <c r="N907" s="75"/>
      <c r="O907" s="76"/>
    </row>
    <row r="908" ht="15.75" customHeight="1">
      <c r="E908" s="77"/>
      <c r="K908" s="75"/>
      <c r="L908" s="76"/>
      <c r="M908" s="75"/>
      <c r="N908" s="75"/>
      <c r="O908" s="76"/>
    </row>
    <row r="909" ht="15.75" customHeight="1">
      <c r="E909" s="77"/>
      <c r="K909" s="75"/>
      <c r="L909" s="76"/>
      <c r="M909" s="75"/>
      <c r="N909" s="75"/>
      <c r="O909" s="76"/>
    </row>
    <row r="910" ht="15.75" customHeight="1">
      <c r="E910" s="77"/>
      <c r="K910" s="75"/>
      <c r="L910" s="76"/>
      <c r="M910" s="75"/>
      <c r="N910" s="75"/>
      <c r="O910" s="76"/>
    </row>
    <row r="911" ht="15.75" customHeight="1">
      <c r="E911" s="77"/>
      <c r="K911" s="75"/>
      <c r="L911" s="76"/>
      <c r="M911" s="75"/>
      <c r="N911" s="75"/>
      <c r="O911" s="76"/>
    </row>
    <row r="912" ht="15.75" customHeight="1">
      <c r="E912" s="77"/>
      <c r="K912" s="75"/>
      <c r="L912" s="76"/>
      <c r="M912" s="75"/>
      <c r="N912" s="75"/>
      <c r="O912" s="76"/>
    </row>
    <row r="913" ht="15.75" customHeight="1">
      <c r="E913" s="77"/>
      <c r="K913" s="75"/>
      <c r="L913" s="76"/>
      <c r="M913" s="75"/>
      <c r="N913" s="75"/>
      <c r="O913" s="76"/>
    </row>
    <row r="914" ht="15.75" customHeight="1">
      <c r="E914" s="77"/>
      <c r="K914" s="75"/>
      <c r="L914" s="76"/>
      <c r="M914" s="75"/>
      <c r="N914" s="75"/>
      <c r="O914" s="76"/>
    </row>
    <row r="915" ht="15.75" customHeight="1">
      <c r="E915" s="77"/>
      <c r="K915" s="75"/>
      <c r="L915" s="76"/>
      <c r="M915" s="75"/>
      <c r="N915" s="75"/>
      <c r="O915" s="76"/>
    </row>
    <row r="916" ht="15.75" customHeight="1">
      <c r="E916" s="77"/>
      <c r="K916" s="75"/>
      <c r="L916" s="76"/>
      <c r="M916" s="75"/>
      <c r="N916" s="75"/>
      <c r="O916" s="76"/>
    </row>
    <row r="917" ht="15.75" customHeight="1">
      <c r="E917" s="77"/>
      <c r="K917" s="75"/>
      <c r="L917" s="76"/>
      <c r="M917" s="75"/>
      <c r="N917" s="75"/>
      <c r="O917" s="76"/>
    </row>
    <row r="918" ht="15.75" customHeight="1">
      <c r="E918" s="77"/>
      <c r="K918" s="75"/>
      <c r="L918" s="76"/>
      <c r="M918" s="75"/>
      <c r="N918" s="75"/>
      <c r="O918" s="76"/>
    </row>
    <row r="919" ht="15.75" customHeight="1">
      <c r="E919" s="77"/>
      <c r="K919" s="75"/>
      <c r="L919" s="76"/>
      <c r="M919" s="75"/>
      <c r="N919" s="75"/>
      <c r="O919" s="76"/>
    </row>
    <row r="920" ht="15.75" customHeight="1">
      <c r="E920" s="77"/>
      <c r="K920" s="75"/>
      <c r="L920" s="76"/>
      <c r="M920" s="75"/>
      <c r="N920" s="75"/>
      <c r="O920" s="76"/>
    </row>
    <row r="921" ht="15.75" customHeight="1">
      <c r="E921" s="77"/>
      <c r="K921" s="75"/>
      <c r="L921" s="76"/>
      <c r="M921" s="75"/>
      <c r="N921" s="75"/>
      <c r="O921" s="76"/>
    </row>
    <row r="922" ht="15.75" customHeight="1">
      <c r="E922" s="77"/>
      <c r="K922" s="75"/>
      <c r="L922" s="76"/>
      <c r="M922" s="75"/>
      <c r="N922" s="75"/>
      <c r="O922" s="76"/>
    </row>
    <row r="923" ht="15.75" customHeight="1">
      <c r="E923" s="77"/>
      <c r="K923" s="75"/>
      <c r="L923" s="76"/>
      <c r="M923" s="75"/>
      <c r="N923" s="75"/>
      <c r="O923" s="76"/>
    </row>
    <row r="924" ht="15.75" customHeight="1">
      <c r="E924" s="77"/>
      <c r="K924" s="75"/>
      <c r="L924" s="76"/>
      <c r="M924" s="75"/>
      <c r="N924" s="75"/>
      <c r="O924" s="76"/>
    </row>
    <row r="925" ht="15.75" customHeight="1">
      <c r="E925" s="77"/>
      <c r="K925" s="75"/>
      <c r="L925" s="76"/>
      <c r="M925" s="75"/>
      <c r="N925" s="75"/>
      <c r="O925" s="76"/>
    </row>
    <row r="926" ht="15.75" customHeight="1">
      <c r="E926" s="77"/>
      <c r="K926" s="75"/>
      <c r="L926" s="76"/>
      <c r="M926" s="75"/>
      <c r="N926" s="75"/>
      <c r="O926" s="76"/>
    </row>
    <row r="927" ht="15.75" customHeight="1">
      <c r="E927" s="77"/>
      <c r="K927" s="75"/>
      <c r="L927" s="76"/>
      <c r="M927" s="75"/>
      <c r="N927" s="75"/>
      <c r="O927" s="76"/>
    </row>
    <row r="928" ht="15.75" customHeight="1">
      <c r="E928" s="77"/>
      <c r="K928" s="75"/>
      <c r="L928" s="76"/>
      <c r="M928" s="75"/>
      <c r="N928" s="75"/>
      <c r="O928" s="76"/>
    </row>
    <row r="929" ht="15.75" customHeight="1">
      <c r="E929" s="77"/>
      <c r="K929" s="75"/>
      <c r="L929" s="76"/>
      <c r="M929" s="75"/>
      <c r="N929" s="75"/>
      <c r="O929" s="76"/>
    </row>
    <row r="930" ht="15.75" customHeight="1">
      <c r="E930" s="77"/>
      <c r="K930" s="75"/>
      <c r="L930" s="76"/>
      <c r="M930" s="75"/>
      <c r="N930" s="75"/>
      <c r="O930" s="76"/>
    </row>
    <row r="931" ht="15.75" customHeight="1">
      <c r="E931" s="77"/>
      <c r="K931" s="75"/>
      <c r="L931" s="76"/>
      <c r="M931" s="75"/>
      <c r="N931" s="75"/>
      <c r="O931" s="76"/>
    </row>
    <row r="932" ht="15.75" customHeight="1">
      <c r="E932" s="77"/>
      <c r="K932" s="75"/>
      <c r="L932" s="76"/>
      <c r="M932" s="75"/>
      <c r="N932" s="75"/>
      <c r="O932" s="76"/>
    </row>
    <row r="933" ht="15.75" customHeight="1">
      <c r="E933" s="77"/>
      <c r="K933" s="75"/>
      <c r="L933" s="76"/>
      <c r="M933" s="75"/>
      <c r="N933" s="75"/>
      <c r="O933" s="76"/>
    </row>
    <row r="934" ht="15.75" customHeight="1">
      <c r="E934" s="77"/>
      <c r="K934" s="75"/>
      <c r="L934" s="76"/>
      <c r="M934" s="75"/>
      <c r="N934" s="75"/>
      <c r="O934" s="76"/>
    </row>
    <row r="935" ht="15.75" customHeight="1">
      <c r="E935" s="77"/>
      <c r="K935" s="75"/>
      <c r="L935" s="76"/>
      <c r="M935" s="75"/>
      <c r="N935" s="75"/>
      <c r="O935" s="76"/>
    </row>
    <row r="936" ht="15.75" customHeight="1">
      <c r="E936" s="77"/>
      <c r="K936" s="75"/>
      <c r="L936" s="76"/>
      <c r="M936" s="75"/>
      <c r="N936" s="75"/>
      <c r="O936" s="76"/>
    </row>
    <row r="937" ht="15.75" customHeight="1">
      <c r="E937" s="77"/>
      <c r="K937" s="75"/>
      <c r="L937" s="76"/>
      <c r="M937" s="75"/>
      <c r="N937" s="75"/>
      <c r="O937" s="76"/>
    </row>
    <row r="938" ht="15.75" customHeight="1">
      <c r="E938" s="77"/>
      <c r="K938" s="75"/>
      <c r="L938" s="76"/>
      <c r="M938" s="75"/>
      <c r="N938" s="75"/>
      <c r="O938" s="76"/>
    </row>
    <row r="939" ht="15.75" customHeight="1">
      <c r="E939" s="77"/>
      <c r="K939" s="75"/>
      <c r="L939" s="76"/>
      <c r="M939" s="75"/>
      <c r="N939" s="75"/>
      <c r="O939" s="76"/>
    </row>
    <row r="940" ht="15.75" customHeight="1">
      <c r="E940" s="77"/>
      <c r="K940" s="75"/>
      <c r="L940" s="76"/>
      <c r="M940" s="75"/>
      <c r="N940" s="75"/>
      <c r="O940" s="76"/>
    </row>
    <row r="941" ht="15.75" customHeight="1">
      <c r="E941" s="77"/>
      <c r="K941" s="75"/>
      <c r="L941" s="76"/>
      <c r="M941" s="75"/>
      <c r="N941" s="75"/>
      <c r="O941" s="76"/>
    </row>
    <row r="942" ht="15.75" customHeight="1">
      <c r="E942" s="77"/>
      <c r="K942" s="75"/>
      <c r="L942" s="76"/>
      <c r="M942" s="75"/>
      <c r="N942" s="75"/>
      <c r="O942" s="76"/>
    </row>
    <row r="943" ht="15.75" customHeight="1">
      <c r="E943" s="77"/>
      <c r="K943" s="75"/>
      <c r="L943" s="76"/>
      <c r="M943" s="75"/>
      <c r="N943" s="75"/>
      <c r="O943" s="76"/>
    </row>
    <row r="944" ht="15.75" customHeight="1">
      <c r="E944" s="77"/>
      <c r="K944" s="75"/>
      <c r="L944" s="76"/>
      <c r="M944" s="75"/>
      <c r="N944" s="75"/>
      <c r="O944" s="76"/>
    </row>
    <row r="945" ht="15.75" customHeight="1">
      <c r="E945" s="77"/>
      <c r="K945" s="75"/>
      <c r="L945" s="76"/>
      <c r="M945" s="75"/>
      <c r="N945" s="75"/>
      <c r="O945" s="76"/>
    </row>
    <row r="946" ht="15.75" customHeight="1">
      <c r="E946" s="77"/>
      <c r="K946" s="75"/>
      <c r="L946" s="76"/>
      <c r="M946" s="75"/>
      <c r="N946" s="75"/>
      <c r="O946" s="76"/>
    </row>
    <row r="947" ht="15.75" customHeight="1">
      <c r="E947" s="77"/>
      <c r="K947" s="75"/>
      <c r="L947" s="76"/>
      <c r="M947" s="75"/>
      <c r="N947" s="75"/>
      <c r="O947" s="76"/>
    </row>
    <row r="948" ht="15.75" customHeight="1">
      <c r="E948" s="77"/>
      <c r="K948" s="75"/>
      <c r="L948" s="76"/>
      <c r="M948" s="75"/>
      <c r="N948" s="75"/>
      <c r="O948" s="76"/>
    </row>
    <row r="949" ht="15.75" customHeight="1">
      <c r="E949" s="77"/>
      <c r="K949" s="75"/>
      <c r="L949" s="76"/>
      <c r="M949" s="75"/>
      <c r="N949" s="75"/>
      <c r="O949" s="76"/>
    </row>
    <row r="950" ht="15.75" customHeight="1">
      <c r="E950" s="77"/>
      <c r="K950" s="75"/>
      <c r="L950" s="76"/>
      <c r="M950" s="75"/>
      <c r="N950" s="75"/>
      <c r="O950" s="76"/>
    </row>
    <row r="951" ht="15.75" customHeight="1">
      <c r="E951" s="77"/>
      <c r="K951" s="75"/>
      <c r="L951" s="76"/>
      <c r="M951" s="75"/>
      <c r="N951" s="75"/>
      <c r="O951" s="76"/>
    </row>
    <row r="952" ht="15.75" customHeight="1">
      <c r="E952" s="77"/>
      <c r="K952" s="75"/>
      <c r="L952" s="76"/>
      <c r="M952" s="75"/>
      <c r="N952" s="75"/>
      <c r="O952" s="76"/>
    </row>
    <row r="953" ht="15.75" customHeight="1">
      <c r="E953" s="77"/>
      <c r="K953" s="75"/>
      <c r="L953" s="76"/>
      <c r="M953" s="75"/>
      <c r="N953" s="75"/>
      <c r="O953" s="76"/>
    </row>
    <row r="954" ht="15.75" customHeight="1">
      <c r="E954" s="77"/>
      <c r="K954" s="75"/>
      <c r="L954" s="76"/>
      <c r="M954" s="75"/>
      <c r="N954" s="75"/>
      <c r="O954" s="76"/>
    </row>
    <row r="955" ht="15.75" customHeight="1">
      <c r="E955" s="77"/>
      <c r="K955" s="75"/>
      <c r="L955" s="76"/>
      <c r="M955" s="75"/>
      <c r="N955" s="75"/>
      <c r="O955" s="76"/>
    </row>
    <row r="956" ht="15.75" customHeight="1">
      <c r="E956" s="77"/>
      <c r="K956" s="75"/>
      <c r="L956" s="76"/>
      <c r="M956" s="75"/>
      <c r="N956" s="75"/>
      <c r="O956" s="76"/>
    </row>
    <row r="957" ht="15.75" customHeight="1">
      <c r="E957" s="77"/>
      <c r="K957" s="75"/>
      <c r="L957" s="76"/>
      <c r="M957" s="75"/>
      <c r="N957" s="75"/>
      <c r="O957" s="76"/>
    </row>
    <row r="958" ht="15.75" customHeight="1">
      <c r="E958" s="77"/>
      <c r="K958" s="75"/>
      <c r="L958" s="76"/>
      <c r="M958" s="75"/>
      <c r="N958" s="75"/>
      <c r="O958" s="76"/>
    </row>
    <row r="959" ht="15.75" customHeight="1">
      <c r="E959" s="77"/>
      <c r="K959" s="75"/>
      <c r="L959" s="76"/>
      <c r="M959" s="75"/>
      <c r="N959" s="75"/>
      <c r="O959" s="76"/>
    </row>
    <row r="960" ht="15.75" customHeight="1">
      <c r="E960" s="77"/>
      <c r="K960" s="75"/>
      <c r="L960" s="76"/>
      <c r="M960" s="75"/>
      <c r="N960" s="75"/>
      <c r="O960" s="76"/>
    </row>
    <row r="961" ht="15.75" customHeight="1">
      <c r="E961" s="77"/>
      <c r="K961" s="75"/>
      <c r="L961" s="76"/>
      <c r="M961" s="75"/>
      <c r="N961" s="75"/>
      <c r="O961" s="76"/>
    </row>
    <row r="962" ht="15.75" customHeight="1">
      <c r="E962" s="77"/>
      <c r="K962" s="75"/>
      <c r="L962" s="76"/>
      <c r="M962" s="75"/>
      <c r="N962" s="75"/>
      <c r="O962" s="76"/>
    </row>
    <row r="963" ht="15.75" customHeight="1">
      <c r="E963" s="77"/>
      <c r="K963" s="75"/>
      <c r="L963" s="76"/>
      <c r="M963" s="75"/>
      <c r="N963" s="75"/>
      <c r="O963" s="76"/>
    </row>
    <row r="964" ht="15.75" customHeight="1">
      <c r="E964" s="77"/>
      <c r="K964" s="75"/>
      <c r="L964" s="76"/>
      <c r="M964" s="75"/>
      <c r="N964" s="75"/>
      <c r="O964" s="76"/>
    </row>
    <row r="965" ht="15.75" customHeight="1">
      <c r="E965" s="77"/>
      <c r="K965" s="75"/>
      <c r="L965" s="76"/>
      <c r="M965" s="75"/>
      <c r="N965" s="75"/>
      <c r="O965" s="76"/>
    </row>
    <row r="966" ht="15.75" customHeight="1">
      <c r="E966" s="77"/>
      <c r="K966" s="75"/>
      <c r="L966" s="76"/>
      <c r="M966" s="75"/>
      <c r="N966" s="75"/>
      <c r="O966" s="76"/>
    </row>
    <row r="967" ht="15.75" customHeight="1">
      <c r="E967" s="77"/>
      <c r="K967" s="75"/>
      <c r="L967" s="76"/>
      <c r="M967" s="75"/>
      <c r="N967" s="75"/>
      <c r="O967" s="76"/>
    </row>
    <row r="968" ht="15.75" customHeight="1">
      <c r="E968" s="77"/>
      <c r="K968" s="75"/>
      <c r="L968" s="76"/>
      <c r="M968" s="75"/>
      <c r="N968" s="75"/>
      <c r="O968" s="76"/>
    </row>
    <row r="969" ht="15.75" customHeight="1">
      <c r="E969" s="77"/>
      <c r="K969" s="75"/>
      <c r="L969" s="76"/>
      <c r="M969" s="75"/>
      <c r="N969" s="75"/>
      <c r="O969" s="76"/>
    </row>
    <row r="970" ht="15.75" customHeight="1">
      <c r="E970" s="77"/>
      <c r="K970" s="75"/>
      <c r="L970" s="76"/>
      <c r="M970" s="75"/>
      <c r="N970" s="75"/>
      <c r="O970" s="76"/>
    </row>
    <row r="971" ht="15.75" customHeight="1">
      <c r="E971" s="77"/>
      <c r="K971" s="75"/>
      <c r="L971" s="76"/>
      <c r="M971" s="75"/>
      <c r="N971" s="75"/>
      <c r="O971" s="76"/>
    </row>
    <row r="972" ht="15.75" customHeight="1">
      <c r="E972" s="77"/>
      <c r="K972" s="75"/>
      <c r="L972" s="76"/>
      <c r="M972" s="75"/>
      <c r="N972" s="75"/>
      <c r="O972" s="76"/>
    </row>
    <row r="973" ht="15.75" customHeight="1">
      <c r="E973" s="77"/>
      <c r="K973" s="75"/>
      <c r="L973" s="76"/>
      <c r="M973" s="75"/>
      <c r="N973" s="75"/>
      <c r="O973" s="76"/>
    </row>
    <row r="974" ht="15.75" customHeight="1">
      <c r="E974" s="77"/>
      <c r="K974" s="75"/>
      <c r="L974" s="76"/>
      <c r="M974" s="75"/>
      <c r="N974" s="75"/>
      <c r="O974" s="76"/>
    </row>
    <row r="975" ht="15.75" customHeight="1">
      <c r="E975" s="77"/>
      <c r="K975" s="75"/>
      <c r="L975" s="76"/>
      <c r="M975" s="75"/>
      <c r="N975" s="75"/>
      <c r="O975" s="76"/>
    </row>
    <row r="976" ht="15.75" customHeight="1">
      <c r="E976" s="77"/>
      <c r="K976" s="75"/>
      <c r="L976" s="76"/>
      <c r="M976" s="75"/>
      <c r="N976" s="75"/>
      <c r="O976" s="76"/>
    </row>
    <row r="977" ht="15.75" customHeight="1">
      <c r="E977" s="77"/>
      <c r="K977" s="75"/>
      <c r="L977" s="76"/>
      <c r="M977" s="75"/>
      <c r="N977" s="75"/>
      <c r="O977" s="76"/>
    </row>
    <row r="978" ht="15.75" customHeight="1">
      <c r="E978" s="77"/>
      <c r="K978" s="75"/>
      <c r="L978" s="76"/>
      <c r="M978" s="75"/>
      <c r="N978" s="75"/>
      <c r="O978" s="76"/>
    </row>
    <row r="979" ht="15.75" customHeight="1">
      <c r="E979" s="77"/>
      <c r="K979" s="75"/>
      <c r="L979" s="76"/>
      <c r="M979" s="75"/>
      <c r="N979" s="75"/>
      <c r="O979" s="76"/>
    </row>
    <row r="980" ht="15.75" customHeight="1">
      <c r="E980" s="77"/>
      <c r="K980" s="75"/>
      <c r="L980" s="76"/>
      <c r="M980" s="75"/>
      <c r="N980" s="75"/>
      <c r="O980" s="76"/>
    </row>
    <row r="981" ht="15.75" customHeight="1">
      <c r="E981" s="77"/>
      <c r="K981" s="75"/>
      <c r="L981" s="76"/>
      <c r="M981" s="75"/>
      <c r="N981" s="75"/>
      <c r="O981" s="76"/>
    </row>
    <row r="982" ht="15.75" customHeight="1">
      <c r="E982" s="77"/>
      <c r="K982" s="75"/>
      <c r="L982" s="76"/>
      <c r="M982" s="75"/>
      <c r="N982" s="75"/>
      <c r="O982" s="76"/>
    </row>
    <row r="983" ht="15.75" customHeight="1">
      <c r="E983" s="77"/>
      <c r="K983" s="75"/>
      <c r="L983" s="76"/>
      <c r="M983" s="75"/>
      <c r="N983" s="75"/>
      <c r="O983" s="76"/>
    </row>
    <row r="984" ht="15.75" customHeight="1">
      <c r="E984" s="77"/>
      <c r="K984" s="75"/>
      <c r="L984" s="76"/>
      <c r="M984" s="75"/>
      <c r="N984" s="75"/>
      <c r="O984" s="76"/>
    </row>
    <row r="985" ht="15.75" customHeight="1">
      <c r="E985" s="77"/>
      <c r="K985" s="75"/>
      <c r="L985" s="76"/>
      <c r="M985" s="75"/>
      <c r="N985" s="75"/>
      <c r="O985" s="76"/>
    </row>
    <row r="986" ht="15.75" customHeight="1">
      <c r="E986" s="77"/>
      <c r="K986" s="75"/>
      <c r="L986" s="76"/>
      <c r="M986" s="75"/>
      <c r="N986" s="75"/>
      <c r="O986" s="76"/>
    </row>
    <row r="987" ht="15.75" customHeight="1">
      <c r="E987" s="77"/>
      <c r="K987" s="75"/>
      <c r="L987" s="76"/>
      <c r="M987" s="75"/>
      <c r="N987" s="75"/>
      <c r="O987" s="76"/>
    </row>
    <row r="988" ht="15.75" customHeight="1">
      <c r="E988" s="77"/>
      <c r="K988" s="75"/>
      <c r="L988" s="76"/>
      <c r="M988" s="75"/>
      <c r="N988" s="75"/>
      <c r="O988" s="76"/>
    </row>
    <row r="989" ht="15.75" customHeight="1">
      <c r="E989" s="77"/>
      <c r="K989" s="75"/>
      <c r="L989" s="76"/>
      <c r="M989" s="75"/>
      <c r="N989" s="75"/>
      <c r="O989" s="76"/>
    </row>
    <row r="990" ht="15.75" customHeight="1">
      <c r="E990" s="77"/>
      <c r="K990" s="75"/>
      <c r="L990" s="76"/>
      <c r="M990" s="75"/>
      <c r="N990" s="75"/>
      <c r="O990" s="76"/>
    </row>
    <row r="991" ht="15.75" customHeight="1">
      <c r="E991" s="77"/>
      <c r="K991" s="75"/>
      <c r="L991" s="76"/>
      <c r="M991" s="75"/>
      <c r="N991" s="75"/>
      <c r="O991" s="76"/>
    </row>
    <row r="992" ht="15.75" customHeight="1">
      <c r="E992" s="77"/>
      <c r="K992" s="75"/>
      <c r="L992" s="76"/>
      <c r="M992" s="75"/>
      <c r="N992" s="75"/>
      <c r="O992" s="76"/>
    </row>
    <row r="993" ht="15.75" customHeight="1">
      <c r="E993" s="77"/>
      <c r="K993" s="75"/>
      <c r="L993" s="76"/>
      <c r="M993" s="75"/>
      <c r="N993" s="75"/>
      <c r="O993" s="76"/>
    </row>
    <row r="994" ht="15.75" customHeight="1">
      <c r="E994" s="77"/>
      <c r="K994" s="75"/>
      <c r="L994" s="76"/>
      <c r="M994" s="75"/>
      <c r="N994" s="75"/>
      <c r="O994" s="76"/>
    </row>
    <row r="995" ht="15.75" customHeight="1">
      <c r="E995" s="77"/>
      <c r="K995" s="75"/>
      <c r="L995" s="76"/>
      <c r="M995" s="75"/>
      <c r="N995" s="75"/>
      <c r="O995" s="76"/>
    </row>
    <row r="996" ht="15.75" customHeight="1">
      <c r="E996" s="77"/>
      <c r="K996" s="75"/>
      <c r="L996" s="76"/>
      <c r="M996" s="75"/>
      <c r="N996" s="75"/>
      <c r="O996" s="76"/>
    </row>
    <row r="997" ht="15.75" customHeight="1">
      <c r="E997" s="77"/>
      <c r="K997" s="75"/>
      <c r="L997" s="76"/>
      <c r="M997" s="75"/>
      <c r="N997" s="75"/>
      <c r="O997" s="76"/>
    </row>
    <row r="998" ht="15.75" customHeight="1">
      <c r="E998" s="77"/>
      <c r="K998" s="75"/>
      <c r="L998" s="76"/>
      <c r="M998" s="75"/>
      <c r="N998" s="75"/>
      <c r="O998" s="76"/>
    </row>
    <row r="999" ht="15.75" customHeight="1">
      <c r="E999" s="77"/>
      <c r="K999" s="75"/>
      <c r="L999" s="76"/>
      <c r="M999" s="75"/>
      <c r="N999" s="75"/>
      <c r="O999" s="76"/>
    </row>
    <row r="1000" ht="15.75" customHeight="1">
      <c r="E1000" s="77"/>
      <c r="K1000" s="75"/>
      <c r="L1000" s="76"/>
      <c r="M1000" s="75"/>
      <c r="N1000" s="75"/>
      <c r="O1000" s="76"/>
    </row>
  </sheetData>
  <autoFilter ref="$A$1:$P$200"/>
  <mergeCells count="1">
    <mergeCell ref="A1:J1"/>
  </mergeCells>
  <dataValidations>
    <dataValidation type="list" allowBlank="1" sqref="L4:L200">
      <formula1>"Academic Development,Outreach,Mentoring,Skills Building,STEM Engagement,Other"</formula1>
    </dataValidation>
    <dataValidation type="list" allowBlank="1" sqref="E4:E200">
      <formula1>"Writers Course,Editors Course,Designers Course,CATS Honours,CATS Skills,Special Event,Assessment"</formula1>
    </dataValidation>
  </dataValidations>
  <hyperlinks>
    <hyperlink r:id="rId1" ref="N4"/>
    <hyperlink r:id="rId2" ref="N5"/>
    <hyperlink r:id="rId3" ref="N6"/>
    <hyperlink r:id="rId4" ref="N7"/>
    <hyperlink r:id="rId5" ref="N8"/>
    <hyperlink r:id="rId6" ref="N10"/>
    <hyperlink r:id="rId7" ref="N11"/>
    <hyperlink r:id="rId8" ref="N13"/>
    <hyperlink r:id="rId9" ref="N14"/>
    <hyperlink r:id="rId10" ref="N15"/>
    <hyperlink r:id="rId11" ref="N17"/>
  </hyperlinks>
  <printOptions/>
  <pageMargins bottom="1.0" footer="0.0" header="0.0" left="0.75" right="0.75" top="1.0"/>
  <pageSetup paperSize="9" orientation="portrait"/>
  <drawing r:id="rId1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4.43" defaultRowHeight="15.0"/>
  <cols>
    <col customWidth="1" min="1" max="1" width="5.86"/>
    <col customWidth="1" min="2" max="2" width="12.0"/>
    <col customWidth="1" min="3" max="3" width="20.0"/>
    <col customWidth="1" min="4" max="4" width="14.0"/>
    <col customWidth="1" min="5" max="6" width="10.0"/>
    <col customWidth="1" min="7" max="9" width="12.0"/>
    <col customWidth="1" min="10" max="10" width="14.0"/>
    <col customWidth="1" min="11" max="11" width="12.0"/>
    <col customWidth="1" min="12" max="12" width="22.0"/>
    <col customWidth="1" min="13" max="13" width="14.0"/>
    <col customWidth="1" min="14" max="14" width="22.0"/>
    <col customWidth="1" min="15" max="26" width="8.71"/>
  </cols>
  <sheetData>
    <row r="1" ht="31.5" customHeight="1">
      <c r="A1" s="112" t="s">
        <v>203</v>
      </c>
      <c r="B1" s="2"/>
      <c r="C1" s="2"/>
      <c r="D1" s="2"/>
      <c r="E1" s="2"/>
      <c r="F1" s="2"/>
      <c r="G1" s="2"/>
      <c r="H1" s="2"/>
      <c r="I1" s="2"/>
      <c r="J1" s="2"/>
      <c r="K1" s="2"/>
      <c r="L1" s="3"/>
    </row>
    <row r="2" ht="19.5" customHeight="1">
      <c r="A2" s="113" t="s">
        <v>204</v>
      </c>
      <c r="B2" s="2"/>
      <c r="C2" s="2"/>
      <c r="D2" s="2"/>
      <c r="E2" s="2"/>
      <c r="F2" s="2"/>
      <c r="G2" s="2"/>
      <c r="H2" s="2"/>
      <c r="I2" s="2"/>
      <c r="J2" s="2"/>
      <c r="K2" s="2"/>
      <c r="L2" s="3"/>
    </row>
    <row r="3" ht="42.0" customHeight="1">
      <c r="A3" s="31" t="s">
        <v>101</v>
      </c>
      <c r="B3" s="31" t="s">
        <v>102</v>
      </c>
      <c r="C3" s="31" t="s">
        <v>205</v>
      </c>
      <c r="D3" s="31" t="s">
        <v>206</v>
      </c>
      <c r="E3" s="31" t="s">
        <v>207</v>
      </c>
      <c r="F3" s="31" t="s">
        <v>208</v>
      </c>
      <c r="G3" s="31" t="s">
        <v>209</v>
      </c>
      <c r="H3" s="31" t="s">
        <v>210</v>
      </c>
      <c r="I3" s="31" t="s">
        <v>211</v>
      </c>
      <c r="J3" s="31" t="s">
        <v>212</v>
      </c>
      <c r="K3" s="31" t="s">
        <v>213</v>
      </c>
      <c r="L3" s="31" t="s">
        <v>214</v>
      </c>
      <c r="M3" s="31" t="s">
        <v>215</v>
      </c>
      <c r="N3" s="29" t="s">
        <v>216</v>
      </c>
    </row>
    <row r="4">
      <c r="A4" s="114" t="s">
        <v>117</v>
      </c>
      <c r="B4" s="115">
        <v>46086.0</v>
      </c>
      <c r="C4" s="114" t="s">
        <v>217</v>
      </c>
      <c r="D4" s="36"/>
      <c r="E4" s="114" t="s">
        <v>218</v>
      </c>
      <c r="F4" s="114" t="s">
        <v>219</v>
      </c>
      <c r="G4" s="36"/>
      <c r="H4" s="36"/>
      <c r="I4" s="114"/>
      <c r="J4" s="116" t="str">
        <f t="shared" ref="J4:J15" si="1">IFERROR(AVERAGE(G4:I4),"")</f>
        <v/>
      </c>
      <c r="K4" s="36"/>
      <c r="L4" s="36"/>
      <c r="M4" s="36"/>
    </row>
    <row r="5">
      <c r="A5" s="36"/>
      <c r="B5" s="36"/>
      <c r="C5" s="114" t="s">
        <v>48</v>
      </c>
      <c r="D5" s="36"/>
      <c r="E5" s="114" t="s">
        <v>219</v>
      </c>
      <c r="F5" s="114" t="s">
        <v>219</v>
      </c>
      <c r="G5" s="36"/>
      <c r="H5" s="36"/>
      <c r="I5" s="36"/>
      <c r="J5" s="116" t="str">
        <f t="shared" si="1"/>
        <v/>
      </c>
      <c r="K5" s="36"/>
      <c r="L5" s="36"/>
      <c r="M5" s="36"/>
    </row>
    <row r="6">
      <c r="A6" s="36"/>
      <c r="B6" s="36"/>
      <c r="C6" s="114" t="s">
        <v>220</v>
      </c>
      <c r="D6" s="36"/>
      <c r="E6" s="114" t="s">
        <v>218</v>
      </c>
      <c r="F6" s="114" t="s">
        <v>219</v>
      </c>
      <c r="G6" s="36"/>
      <c r="H6" s="36"/>
      <c r="I6" s="36"/>
      <c r="J6" s="116" t="str">
        <f t="shared" si="1"/>
        <v/>
      </c>
      <c r="K6" s="36"/>
      <c r="L6" s="36"/>
      <c r="M6" s="36"/>
    </row>
    <row r="7">
      <c r="A7" s="36"/>
      <c r="B7" s="36"/>
      <c r="C7" s="114" t="s">
        <v>221</v>
      </c>
      <c r="D7" s="36"/>
      <c r="E7" s="114" t="s">
        <v>218</v>
      </c>
      <c r="F7" s="114" t="s">
        <v>219</v>
      </c>
      <c r="G7" s="36"/>
      <c r="H7" s="36"/>
      <c r="I7" s="36"/>
      <c r="J7" s="116" t="str">
        <f t="shared" si="1"/>
        <v/>
      </c>
      <c r="K7" s="36"/>
      <c r="L7" s="36"/>
      <c r="M7" s="36"/>
    </row>
    <row r="8">
      <c r="A8" s="36"/>
      <c r="B8" s="36"/>
      <c r="C8" s="114" t="s">
        <v>222</v>
      </c>
      <c r="D8" s="36"/>
      <c r="E8" s="114" t="s">
        <v>218</v>
      </c>
      <c r="F8" s="114" t="s">
        <v>219</v>
      </c>
      <c r="G8" s="114"/>
      <c r="H8" s="114"/>
      <c r="I8" s="114"/>
      <c r="J8" s="116" t="str">
        <f t="shared" si="1"/>
        <v/>
      </c>
      <c r="K8" s="36"/>
      <c r="L8" s="114"/>
      <c r="M8" s="36"/>
    </row>
    <row r="9">
      <c r="A9" s="36"/>
      <c r="B9" s="36"/>
      <c r="C9" s="114" t="s">
        <v>223</v>
      </c>
      <c r="D9" s="36"/>
      <c r="E9" s="114" t="s">
        <v>218</v>
      </c>
      <c r="F9" s="114" t="s">
        <v>219</v>
      </c>
      <c r="G9" s="36"/>
      <c r="H9" s="36"/>
      <c r="I9" s="36"/>
      <c r="J9" s="116" t="str">
        <f t="shared" si="1"/>
        <v/>
      </c>
      <c r="K9" s="36"/>
      <c r="L9" s="36"/>
      <c r="M9" s="36"/>
    </row>
    <row r="10">
      <c r="A10" s="36"/>
      <c r="B10" s="36"/>
      <c r="C10" s="114" t="s">
        <v>224</v>
      </c>
      <c r="D10" s="36"/>
      <c r="E10" s="114" t="s">
        <v>218</v>
      </c>
      <c r="F10" s="114" t="s">
        <v>219</v>
      </c>
      <c r="G10" s="36"/>
      <c r="H10" s="36"/>
      <c r="I10" s="36"/>
      <c r="J10" s="116" t="str">
        <f t="shared" si="1"/>
        <v/>
      </c>
      <c r="K10" s="36"/>
      <c r="L10" s="36"/>
      <c r="M10" s="36"/>
    </row>
    <row r="11">
      <c r="A11" s="36"/>
      <c r="B11" s="36"/>
      <c r="C11" s="114" t="s">
        <v>225</v>
      </c>
      <c r="D11" s="36"/>
      <c r="E11" s="114" t="s">
        <v>219</v>
      </c>
      <c r="F11" s="114" t="s">
        <v>219</v>
      </c>
      <c r="G11" s="36"/>
      <c r="H11" s="36"/>
      <c r="I11" s="36"/>
      <c r="J11" s="116" t="str">
        <f t="shared" si="1"/>
        <v/>
      </c>
      <c r="K11" s="36"/>
      <c r="L11" s="36"/>
      <c r="M11" s="36"/>
    </row>
    <row r="12">
      <c r="A12" s="36"/>
      <c r="B12" s="36"/>
      <c r="C12" s="114" t="s">
        <v>226</v>
      </c>
      <c r="D12" s="36"/>
      <c r="E12" s="114" t="s">
        <v>218</v>
      </c>
      <c r="F12" s="114" t="s">
        <v>219</v>
      </c>
      <c r="G12" s="36"/>
      <c r="H12" s="36"/>
      <c r="I12" s="36"/>
      <c r="J12" s="116" t="str">
        <f t="shared" si="1"/>
        <v/>
      </c>
      <c r="K12" s="36"/>
      <c r="L12" s="36"/>
      <c r="M12" s="36"/>
    </row>
    <row r="13">
      <c r="A13" s="36"/>
      <c r="B13" s="36"/>
      <c r="C13" s="114" t="s">
        <v>227</v>
      </c>
      <c r="D13" s="36"/>
      <c r="E13" s="114" t="s">
        <v>218</v>
      </c>
      <c r="F13" s="114" t="s">
        <v>219</v>
      </c>
      <c r="G13" s="36"/>
      <c r="H13" s="36"/>
      <c r="I13" s="36"/>
      <c r="J13" s="116" t="str">
        <f t="shared" si="1"/>
        <v/>
      </c>
      <c r="K13" s="36"/>
      <c r="L13" s="36"/>
      <c r="M13" s="36"/>
    </row>
    <row r="14">
      <c r="A14" s="36"/>
      <c r="B14" s="36"/>
      <c r="C14" s="114" t="s">
        <v>228</v>
      </c>
      <c r="D14" s="36"/>
      <c r="E14" s="114" t="s">
        <v>218</v>
      </c>
      <c r="F14" s="114" t="s">
        <v>219</v>
      </c>
      <c r="G14" s="114"/>
      <c r="H14" s="114"/>
      <c r="I14" s="114"/>
      <c r="J14" s="116" t="str">
        <f t="shared" si="1"/>
        <v/>
      </c>
      <c r="K14" s="36"/>
      <c r="L14" s="36"/>
      <c r="M14" s="36"/>
    </row>
    <row r="15">
      <c r="A15" s="36"/>
      <c r="B15" s="36"/>
      <c r="C15" s="114" t="s">
        <v>229</v>
      </c>
      <c r="D15" s="36"/>
      <c r="E15" s="114" t="s">
        <v>218</v>
      </c>
      <c r="F15" s="114" t="s">
        <v>219</v>
      </c>
      <c r="G15" s="36"/>
      <c r="H15" s="36"/>
      <c r="I15" s="36"/>
      <c r="J15" s="116" t="str">
        <f t="shared" si="1"/>
        <v/>
      </c>
      <c r="K15" s="36"/>
      <c r="L15" s="36"/>
      <c r="M15" s="36"/>
    </row>
    <row r="16">
      <c r="A16" s="36"/>
      <c r="B16" s="36"/>
      <c r="C16" s="36"/>
      <c r="D16" s="36"/>
      <c r="E16" s="36"/>
      <c r="F16" s="36"/>
      <c r="G16" s="36"/>
      <c r="H16" s="36"/>
      <c r="I16" s="36"/>
      <c r="J16" s="116"/>
      <c r="K16" s="36"/>
      <c r="L16" s="36"/>
      <c r="M16" s="36"/>
    </row>
    <row r="17">
      <c r="A17" s="114" t="s">
        <v>141</v>
      </c>
      <c r="B17" s="115">
        <v>46086.0</v>
      </c>
      <c r="C17" s="114" t="s">
        <v>220</v>
      </c>
      <c r="D17" s="36"/>
      <c r="E17" s="114" t="s">
        <v>219</v>
      </c>
      <c r="F17" s="114" t="s">
        <v>219</v>
      </c>
      <c r="G17" s="114">
        <v>0.0</v>
      </c>
      <c r="H17" s="114">
        <v>0.0</v>
      </c>
      <c r="I17" s="114">
        <v>0.0</v>
      </c>
      <c r="J17" s="116">
        <f t="shared" ref="J17:J22" si="2">AVERAGE(G17:I17)</f>
        <v>0</v>
      </c>
      <c r="K17" s="114">
        <v>0.0</v>
      </c>
      <c r="L17" s="114" t="s">
        <v>230</v>
      </c>
      <c r="M17" s="36"/>
    </row>
    <row r="18">
      <c r="A18" s="36"/>
      <c r="B18" s="36"/>
      <c r="C18" s="114" t="s">
        <v>52</v>
      </c>
      <c r="D18" s="36"/>
      <c r="E18" s="114" t="s">
        <v>218</v>
      </c>
      <c r="F18" s="114" t="s">
        <v>219</v>
      </c>
      <c r="G18" s="114">
        <v>4.0</v>
      </c>
      <c r="H18" s="114">
        <v>3.0</v>
      </c>
      <c r="I18" s="114">
        <v>4.0</v>
      </c>
      <c r="J18" s="116">
        <f t="shared" si="2"/>
        <v>3.666666667</v>
      </c>
      <c r="K18" s="114">
        <v>3.0</v>
      </c>
      <c r="L18" s="114" t="s">
        <v>231</v>
      </c>
      <c r="M18" s="36"/>
    </row>
    <row r="19">
      <c r="A19" s="36"/>
      <c r="B19" s="36"/>
      <c r="C19" s="114" t="s">
        <v>232</v>
      </c>
      <c r="D19" s="36"/>
      <c r="E19" s="114" t="s">
        <v>218</v>
      </c>
      <c r="F19" s="114" t="s">
        <v>219</v>
      </c>
      <c r="G19" s="114">
        <v>2.0</v>
      </c>
      <c r="H19" s="114">
        <v>3.0</v>
      </c>
      <c r="I19" s="114">
        <v>2.0</v>
      </c>
      <c r="J19" s="116">
        <f t="shared" si="2"/>
        <v>2.333333333</v>
      </c>
      <c r="K19" s="114">
        <v>3.0</v>
      </c>
      <c r="L19" s="114" t="s">
        <v>233</v>
      </c>
      <c r="M19" s="36"/>
    </row>
    <row r="20">
      <c r="A20" s="36"/>
      <c r="B20" s="36"/>
      <c r="C20" s="114" t="s">
        <v>234</v>
      </c>
      <c r="D20" s="36"/>
      <c r="E20" s="114" t="s">
        <v>218</v>
      </c>
      <c r="F20" s="114" t="s">
        <v>219</v>
      </c>
      <c r="G20" s="114">
        <v>3.0</v>
      </c>
      <c r="H20" s="114">
        <v>3.0</v>
      </c>
      <c r="I20" s="114">
        <v>3.0</v>
      </c>
      <c r="J20" s="116">
        <f t="shared" si="2"/>
        <v>3</v>
      </c>
      <c r="K20" s="114">
        <v>3.0</v>
      </c>
      <c r="L20" s="114" t="s">
        <v>235</v>
      </c>
      <c r="M20" s="36"/>
    </row>
    <row r="21" ht="15.75" customHeight="1">
      <c r="A21" s="36"/>
      <c r="B21" s="36"/>
      <c r="C21" s="114" t="s">
        <v>83</v>
      </c>
      <c r="D21" s="36"/>
      <c r="E21" s="114" t="s">
        <v>218</v>
      </c>
      <c r="F21" s="114" t="s">
        <v>219</v>
      </c>
      <c r="G21" s="114">
        <v>3.0</v>
      </c>
      <c r="H21" s="114">
        <v>2.0</v>
      </c>
      <c r="I21" s="114">
        <v>3.0</v>
      </c>
      <c r="J21" s="116">
        <f t="shared" si="2"/>
        <v>2.666666667</v>
      </c>
      <c r="K21" s="114">
        <v>3.0</v>
      </c>
      <c r="L21" s="114" t="s">
        <v>236</v>
      </c>
      <c r="M21" s="36"/>
    </row>
    <row r="22" ht="15.75" customHeight="1">
      <c r="A22" s="36"/>
      <c r="B22" s="36"/>
      <c r="C22" s="114" t="s">
        <v>237</v>
      </c>
      <c r="D22" s="36"/>
      <c r="E22" s="114" t="s">
        <v>218</v>
      </c>
      <c r="F22" s="114" t="s">
        <v>219</v>
      </c>
      <c r="G22" s="114">
        <v>2.0</v>
      </c>
      <c r="H22" s="114">
        <v>2.0</v>
      </c>
      <c r="I22" s="114">
        <v>2.0</v>
      </c>
      <c r="J22" s="116">
        <f t="shared" si="2"/>
        <v>2</v>
      </c>
      <c r="K22" s="114">
        <v>3.0</v>
      </c>
      <c r="L22" s="114" t="s">
        <v>238</v>
      </c>
      <c r="M22" s="36"/>
    </row>
    <row r="23" ht="15.75" customHeight="1">
      <c r="A23" s="36"/>
      <c r="B23" s="36"/>
      <c r="C23" s="36"/>
      <c r="D23" s="36"/>
      <c r="E23" s="36"/>
      <c r="F23" s="36"/>
      <c r="G23" s="36"/>
      <c r="H23" s="36"/>
      <c r="I23" s="36"/>
      <c r="J23" s="116"/>
      <c r="K23" s="36"/>
      <c r="L23" s="36"/>
      <c r="M23" s="36"/>
    </row>
    <row r="24" ht="15.75" customHeight="1">
      <c r="A24" s="114" t="s">
        <v>127</v>
      </c>
      <c r="B24" s="117">
        <v>46090.0</v>
      </c>
      <c r="C24" s="114" t="s">
        <v>217</v>
      </c>
      <c r="D24" s="36"/>
      <c r="E24" s="114" t="s">
        <v>218</v>
      </c>
      <c r="F24" s="114" t="s">
        <v>219</v>
      </c>
      <c r="G24" s="114">
        <v>3.0</v>
      </c>
      <c r="H24" s="114">
        <v>3.0</v>
      </c>
      <c r="I24" s="114">
        <v>3.0</v>
      </c>
      <c r="J24" s="116">
        <f t="shared" ref="J24:J27" si="3">AVERAGE(G24:I24)</f>
        <v>3</v>
      </c>
      <c r="K24" s="36"/>
      <c r="L24" s="114" t="s">
        <v>239</v>
      </c>
      <c r="M24" s="36"/>
    </row>
    <row r="25" ht="15.75" customHeight="1">
      <c r="A25" s="36"/>
      <c r="B25" s="36"/>
      <c r="C25" s="114" t="s">
        <v>220</v>
      </c>
      <c r="D25" s="36"/>
      <c r="E25" s="114" t="s">
        <v>218</v>
      </c>
      <c r="F25" s="114" t="s">
        <v>219</v>
      </c>
      <c r="G25" s="114">
        <v>3.0</v>
      </c>
      <c r="H25" s="114">
        <v>3.0</v>
      </c>
      <c r="I25" s="114">
        <v>3.0</v>
      </c>
      <c r="J25" s="116">
        <f t="shared" si="3"/>
        <v>3</v>
      </c>
      <c r="K25" s="36"/>
      <c r="L25" s="114" t="s">
        <v>240</v>
      </c>
      <c r="M25" s="36"/>
    </row>
    <row r="26" ht="15.75" customHeight="1">
      <c r="A26" s="36"/>
      <c r="B26" s="36"/>
      <c r="C26" s="114" t="s">
        <v>222</v>
      </c>
      <c r="D26" s="36"/>
      <c r="E26" s="114" t="s">
        <v>218</v>
      </c>
      <c r="F26" s="114" t="s">
        <v>219</v>
      </c>
      <c r="G26" s="114">
        <v>3.0</v>
      </c>
      <c r="H26" s="114">
        <v>2.0</v>
      </c>
      <c r="I26" s="114">
        <v>3.0</v>
      </c>
      <c r="J26" s="116">
        <f t="shared" si="3"/>
        <v>2.666666667</v>
      </c>
      <c r="K26" s="36"/>
      <c r="L26" s="114" t="s">
        <v>241</v>
      </c>
      <c r="M26" s="36"/>
    </row>
    <row r="27" ht="15.75" customHeight="1">
      <c r="A27" s="36"/>
      <c r="B27" s="36"/>
      <c r="C27" s="114" t="s">
        <v>229</v>
      </c>
      <c r="D27" s="36"/>
      <c r="E27" s="114" t="s">
        <v>219</v>
      </c>
      <c r="F27" s="114" t="s">
        <v>219</v>
      </c>
      <c r="G27" s="114">
        <v>0.0</v>
      </c>
      <c r="H27" s="114">
        <v>0.0</v>
      </c>
      <c r="I27" s="114">
        <v>0.0</v>
      </c>
      <c r="J27" s="116">
        <f t="shared" si="3"/>
        <v>0</v>
      </c>
      <c r="K27" s="114">
        <v>0.0</v>
      </c>
      <c r="L27" s="114" t="s">
        <v>230</v>
      </c>
      <c r="M27" s="114" t="s">
        <v>242</v>
      </c>
    </row>
    <row r="28" ht="15.75" customHeight="1">
      <c r="A28" s="36"/>
      <c r="B28" s="36"/>
      <c r="C28" s="36"/>
      <c r="D28" s="36"/>
      <c r="E28" s="36"/>
      <c r="F28" s="36"/>
      <c r="G28" s="36"/>
      <c r="H28" s="36"/>
      <c r="I28" s="36"/>
      <c r="J28" s="36"/>
      <c r="K28" s="36"/>
      <c r="L28" s="36"/>
      <c r="M28" s="36"/>
    </row>
    <row r="29" ht="15.75" customHeight="1">
      <c r="A29" s="114" t="s">
        <v>133</v>
      </c>
      <c r="B29" s="117">
        <v>46092.0</v>
      </c>
      <c r="C29" s="114" t="s">
        <v>217</v>
      </c>
      <c r="D29" s="36"/>
      <c r="E29" s="114" t="s">
        <v>219</v>
      </c>
      <c r="F29" s="114" t="s">
        <v>218</v>
      </c>
      <c r="G29" s="114">
        <v>0.0</v>
      </c>
      <c r="H29" s="114">
        <v>0.0</v>
      </c>
      <c r="I29" s="114">
        <v>0.0</v>
      </c>
      <c r="J29" s="116">
        <f t="shared" ref="J29:J31" si="4">AVERAGE(G29:I29)</f>
        <v>0</v>
      </c>
      <c r="K29" s="114">
        <v>0.0</v>
      </c>
      <c r="L29" s="114" t="s">
        <v>230</v>
      </c>
      <c r="M29" s="114" t="s">
        <v>242</v>
      </c>
    </row>
    <row r="30" ht="15.75" customHeight="1">
      <c r="A30" s="36"/>
      <c r="B30" s="36"/>
      <c r="C30" s="114" t="s">
        <v>220</v>
      </c>
      <c r="D30" s="36"/>
      <c r="E30" s="114" t="s">
        <v>218</v>
      </c>
      <c r="F30" s="114" t="s">
        <v>219</v>
      </c>
      <c r="G30" s="114">
        <v>3.0</v>
      </c>
      <c r="H30" s="114">
        <v>3.0</v>
      </c>
      <c r="I30" s="114">
        <v>3.0</v>
      </c>
      <c r="J30" s="116">
        <f t="shared" si="4"/>
        <v>3</v>
      </c>
      <c r="K30" s="114">
        <v>2.0</v>
      </c>
      <c r="L30" s="114" t="s">
        <v>243</v>
      </c>
      <c r="M30" s="36"/>
    </row>
    <row r="31" ht="15.75" customHeight="1">
      <c r="A31" s="36"/>
      <c r="B31" s="36"/>
      <c r="C31" s="114" t="s">
        <v>222</v>
      </c>
      <c r="D31" s="36"/>
      <c r="E31" s="114" t="s">
        <v>218</v>
      </c>
      <c r="F31" s="114" t="s">
        <v>218</v>
      </c>
      <c r="G31" s="114">
        <v>2.0</v>
      </c>
      <c r="H31" s="114">
        <v>3.0</v>
      </c>
      <c r="I31" s="114">
        <v>3.0</v>
      </c>
      <c r="J31" s="116">
        <f t="shared" si="4"/>
        <v>2.666666667</v>
      </c>
      <c r="K31" s="114">
        <v>3.0</v>
      </c>
      <c r="L31" s="114" t="s">
        <v>244</v>
      </c>
      <c r="M31" s="36"/>
    </row>
    <row r="32" ht="15.75" customHeight="1">
      <c r="A32" s="36"/>
      <c r="B32" s="36"/>
      <c r="C32" s="114" t="s">
        <v>229</v>
      </c>
      <c r="D32" s="36"/>
      <c r="E32" s="114" t="s">
        <v>219</v>
      </c>
      <c r="F32" s="114" t="s">
        <v>218</v>
      </c>
      <c r="G32" s="114">
        <v>0.0</v>
      </c>
      <c r="H32" s="114">
        <v>0.0</v>
      </c>
      <c r="I32" s="114">
        <v>0.0</v>
      </c>
      <c r="J32" s="116">
        <f t="shared" ref="J32:J37" si="5">IFERROR(AVERAGE(G32:I32),"")</f>
        <v>0</v>
      </c>
      <c r="K32" s="114">
        <v>0.0</v>
      </c>
      <c r="L32" s="114" t="s">
        <v>230</v>
      </c>
      <c r="M32" s="36"/>
    </row>
    <row r="33" ht="15.75" customHeight="1">
      <c r="A33" s="114" t="s">
        <v>151</v>
      </c>
      <c r="B33" s="115">
        <v>46093.0</v>
      </c>
      <c r="C33" s="114" t="s">
        <v>63</v>
      </c>
      <c r="D33" s="36"/>
      <c r="E33" s="114" t="s">
        <v>218</v>
      </c>
      <c r="F33" s="114" t="s">
        <v>219</v>
      </c>
      <c r="G33" s="114">
        <v>2.0</v>
      </c>
      <c r="H33" s="114">
        <v>4.0</v>
      </c>
      <c r="I33" s="36"/>
      <c r="J33" s="116">
        <f t="shared" si="5"/>
        <v>3</v>
      </c>
      <c r="K33" s="114">
        <v>3.0</v>
      </c>
      <c r="L33" s="114" t="s">
        <v>245</v>
      </c>
      <c r="M33" s="36"/>
    </row>
    <row r="34" ht="15.75" customHeight="1">
      <c r="A34" s="36"/>
      <c r="B34" s="36"/>
      <c r="C34" s="114" t="s">
        <v>58</v>
      </c>
      <c r="D34" s="36"/>
      <c r="E34" s="114" t="s">
        <v>218</v>
      </c>
      <c r="F34" s="114" t="s">
        <v>219</v>
      </c>
      <c r="G34" s="114">
        <v>2.0</v>
      </c>
      <c r="H34" s="114">
        <v>4.0</v>
      </c>
      <c r="I34" s="36"/>
      <c r="J34" s="116">
        <f t="shared" si="5"/>
        <v>3</v>
      </c>
      <c r="K34" s="114">
        <v>3.0</v>
      </c>
      <c r="L34" s="114" t="s">
        <v>245</v>
      </c>
      <c r="M34" s="36"/>
    </row>
    <row r="35" ht="15.75" customHeight="1">
      <c r="A35" s="36"/>
      <c r="B35" s="36"/>
      <c r="C35" s="114" t="s">
        <v>39</v>
      </c>
      <c r="D35" s="36"/>
      <c r="E35" s="114" t="s">
        <v>218</v>
      </c>
      <c r="F35" s="114" t="s">
        <v>219</v>
      </c>
      <c r="G35" s="114">
        <v>3.0</v>
      </c>
      <c r="H35" s="114">
        <v>3.0</v>
      </c>
      <c r="I35" s="36"/>
      <c r="J35" s="116">
        <f t="shared" si="5"/>
        <v>3</v>
      </c>
      <c r="K35" s="114">
        <v>3.0</v>
      </c>
      <c r="L35" s="114" t="s">
        <v>245</v>
      </c>
      <c r="M35" s="36"/>
    </row>
    <row r="36" ht="15.75" customHeight="1">
      <c r="A36" s="36"/>
      <c r="B36" s="36"/>
      <c r="C36" s="114" t="s">
        <v>83</v>
      </c>
      <c r="D36" s="36"/>
      <c r="E36" s="114" t="s">
        <v>218</v>
      </c>
      <c r="F36" s="114" t="s">
        <v>219</v>
      </c>
      <c r="G36" s="114">
        <v>2.0</v>
      </c>
      <c r="H36" s="114">
        <v>3.0</v>
      </c>
      <c r="I36" s="36"/>
      <c r="J36" s="116">
        <f t="shared" si="5"/>
        <v>2.5</v>
      </c>
      <c r="K36" s="114">
        <v>3.0</v>
      </c>
      <c r="L36" s="114" t="s">
        <v>245</v>
      </c>
      <c r="M36" s="36"/>
    </row>
    <row r="37" ht="15.75" customHeight="1">
      <c r="A37" s="36"/>
      <c r="B37" s="36"/>
      <c r="C37" s="114" t="s">
        <v>217</v>
      </c>
      <c r="D37" s="36"/>
      <c r="E37" s="114" t="s">
        <v>218</v>
      </c>
      <c r="F37" s="114" t="s">
        <v>219</v>
      </c>
      <c r="G37" s="114">
        <v>2.0</v>
      </c>
      <c r="H37" s="114">
        <v>3.0</v>
      </c>
      <c r="I37" s="36"/>
      <c r="J37" s="116">
        <f t="shared" si="5"/>
        <v>2.5</v>
      </c>
      <c r="K37" s="114">
        <v>3.0</v>
      </c>
      <c r="L37" s="114" t="s">
        <v>245</v>
      </c>
      <c r="M37" s="36"/>
    </row>
    <row r="38" ht="15.75" customHeight="1">
      <c r="A38" s="36"/>
      <c r="B38" s="36"/>
      <c r="C38" s="114" t="s">
        <v>48</v>
      </c>
      <c r="D38" s="36"/>
      <c r="E38" s="114" t="s">
        <v>218</v>
      </c>
      <c r="F38" s="114" t="s">
        <v>219</v>
      </c>
      <c r="G38" s="114">
        <v>3.0</v>
      </c>
      <c r="H38" s="114">
        <v>3.0</v>
      </c>
      <c r="I38" s="36"/>
      <c r="J38" s="116">
        <f>IFERROR(AVERAGE(G38:I38)," ")</f>
        <v>3</v>
      </c>
      <c r="K38" s="114">
        <v>3.0</v>
      </c>
      <c r="L38" s="114" t="s">
        <v>245</v>
      </c>
      <c r="M38" s="36"/>
    </row>
    <row r="39" ht="15.75" customHeight="1">
      <c r="A39" s="36"/>
      <c r="B39" s="36"/>
      <c r="C39" s="114" t="s">
        <v>65</v>
      </c>
      <c r="D39" s="36"/>
      <c r="E39" s="114" t="s">
        <v>219</v>
      </c>
      <c r="F39" s="114" t="s">
        <v>218</v>
      </c>
      <c r="G39" s="114">
        <v>0.0</v>
      </c>
      <c r="H39" s="114">
        <v>0.0</v>
      </c>
      <c r="I39" s="36"/>
      <c r="J39" s="116">
        <f t="shared" ref="J39:J200" si="6">IFERROR(AVERAGE(G39:I39),"")</f>
        <v>0</v>
      </c>
      <c r="K39" s="114">
        <v>0.0</v>
      </c>
      <c r="L39" s="114" t="s">
        <v>230</v>
      </c>
      <c r="M39" s="36"/>
    </row>
    <row r="40" ht="15.75" customHeight="1">
      <c r="A40" s="114" t="s">
        <v>156</v>
      </c>
      <c r="B40" s="115">
        <v>46094.0</v>
      </c>
      <c r="C40" s="114" t="s">
        <v>63</v>
      </c>
      <c r="D40" s="36"/>
      <c r="E40" s="114" t="s">
        <v>218</v>
      </c>
      <c r="F40" s="114" t="s">
        <v>219</v>
      </c>
      <c r="G40" s="114">
        <v>5.0</v>
      </c>
      <c r="H40" s="114">
        <v>5.0</v>
      </c>
      <c r="I40" s="36"/>
      <c r="J40" s="116">
        <f t="shared" si="6"/>
        <v>5</v>
      </c>
      <c r="K40" s="114">
        <v>4.0</v>
      </c>
      <c r="L40" s="36"/>
      <c r="M40" s="114" t="s">
        <v>242</v>
      </c>
    </row>
    <row r="41" ht="15.75" customHeight="1">
      <c r="A41" s="36"/>
      <c r="B41" s="36"/>
      <c r="C41" s="114" t="s">
        <v>58</v>
      </c>
      <c r="D41" s="36"/>
      <c r="E41" s="114" t="s">
        <v>218</v>
      </c>
      <c r="F41" s="114" t="s">
        <v>219</v>
      </c>
      <c r="G41" s="114">
        <v>5.0</v>
      </c>
      <c r="H41" s="114">
        <v>5.0</v>
      </c>
      <c r="I41" s="36"/>
      <c r="J41" s="116">
        <f t="shared" si="6"/>
        <v>5</v>
      </c>
      <c r="K41" s="114">
        <v>4.0</v>
      </c>
      <c r="L41" s="36"/>
      <c r="M41" s="114" t="s">
        <v>242</v>
      </c>
    </row>
    <row r="42" ht="15.75" customHeight="1">
      <c r="A42" s="36"/>
      <c r="B42" s="36"/>
      <c r="C42" s="114" t="s">
        <v>39</v>
      </c>
      <c r="D42" s="36"/>
      <c r="E42" s="114" t="s">
        <v>218</v>
      </c>
      <c r="F42" s="114" t="s">
        <v>219</v>
      </c>
      <c r="G42" s="114"/>
      <c r="H42" s="36"/>
      <c r="I42" s="36"/>
      <c r="J42" s="116" t="str">
        <f t="shared" si="6"/>
        <v/>
      </c>
      <c r="K42" s="114">
        <v>0.0</v>
      </c>
      <c r="L42" s="36"/>
      <c r="M42" s="114" t="s">
        <v>246</v>
      </c>
    </row>
    <row r="43" ht="15.75" customHeight="1">
      <c r="A43" s="36"/>
      <c r="B43" s="36"/>
      <c r="C43" s="114" t="s">
        <v>83</v>
      </c>
      <c r="D43" s="36"/>
      <c r="E43" s="114" t="s">
        <v>218</v>
      </c>
      <c r="F43" s="114" t="s">
        <v>219</v>
      </c>
      <c r="G43" s="114">
        <v>0.0</v>
      </c>
      <c r="H43" s="36"/>
      <c r="I43" s="36"/>
      <c r="J43" s="116">
        <f t="shared" si="6"/>
        <v>0</v>
      </c>
      <c r="K43" s="114">
        <v>0.0</v>
      </c>
      <c r="L43" s="36"/>
      <c r="M43" s="114" t="s">
        <v>246</v>
      </c>
    </row>
    <row r="44" ht="15.75" customHeight="1">
      <c r="A44" s="36"/>
      <c r="B44" s="36"/>
      <c r="C44" s="114" t="s">
        <v>217</v>
      </c>
      <c r="D44" s="36"/>
      <c r="E44" s="114" t="s">
        <v>218</v>
      </c>
      <c r="F44" s="114" t="s">
        <v>219</v>
      </c>
      <c r="G44" s="114">
        <v>5.0</v>
      </c>
      <c r="H44" s="114">
        <v>5.0</v>
      </c>
      <c r="I44" s="36"/>
      <c r="J44" s="116">
        <f t="shared" si="6"/>
        <v>5</v>
      </c>
      <c r="K44" s="114">
        <v>4.0</v>
      </c>
      <c r="L44" s="36"/>
      <c r="M44" s="114" t="s">
        <v>242</v>
      </c>
    </row>
    <row r="45" ht="15.75" customHeight="1">
      <c r="A45" s="36"/>
      <c r="B45" s="36"/>
      <c r="C45" s="114" t="s">
        <v>65</v>
      </c>
      <c r="D45" s="36"/>
      <c r="E45" s="114" t="s">
        <v>218</v>
      </c>
      <c r="F45" s="114" t="s">
        <v>219</v>
      </c>
      <c r="G45" s="114">
        <v>0.0</v>
      </c>
      <c r="H45" s="36"/>
      <c r="I45" s="36"/>
      <c r="J45" s="116">
        <f t="shared" si="6"/>
        <v>0</v>
      </c>
      <c r="K45" s="114">
        <v>0.0</v>
      </c>
      <c r="L45" s="36"/>
      <c r="M45" s="114" t="s">
        <v>246</v>
      </c>
    </row>
    <row r="46" ht="15.75" customHeight="1">
      <c r="A46" s="36"/>
      <c r="B46" s="36"/>
      <c r="C46" s="114" t="s">
        <v>234</v>
      </c>
      <c r="D46" s="36"/>
      <c r="E46" s="114" t="s">
        <v>218</v>
      </c>
      <c r="F46" s="114" t="s">
        <v>219</v>
      </c>
      <c r="G46" s="114">
        <v>0.0</v>
      </c>
      <c r="H46" s="36"/>
      <c r="I46" s="36"/>
      <c r="J46" s="116">
        <f t="shared" si="6"/>
        <v>0</v>
      </c>
      <c r="K46" s="114">
        <v>0.0</v>
      </c>
      <c r="L46" s="36"/>
      <c r="M46" s="114" t="s">
        <v>246</v>
      </c>
    </row>
    <row r="47" ht="15.75" customHeight="1">
      <c r="A47" s="36"/>
      <c r="B47" s="36"/>
      <c r="C47" s="36"/>
      <c r="D47" s="36"/>
      <c r="E47" s="36"/>
      <c r="F47" s="36"/>
      <c r="G47" s="36"/>
      <c r="H47" s="36"/>
      <c r="I47" s="36"/>
      <c r="J47" s="116" t="str">
        <f t="shared" si="6"/>
        <v/>
      </c>
      <c r="K47" s="36"/>
      <c r="L47" s="36"/>
      <c r="M47" s="36"/>
    </row>
    <row r="48" ht="15.75" customHeight="1">
      <c r="A48" s="114" t="s">
        <v>160</v>
      </c>
      <c r="B48" s="115">
        <v>46096.0</v>
      </c>
      <c r="C48" s="114" t="s">
        <v>217</v>
      </c>
      <c r="D48" s="36"/>
      <c r="E48" s="114" t="s">
        <v>218</v>
      </c>
      <c r="F48" s="114" t="s">
        <v>219</v>
      </c>
      <c r="G48" s="114">
        <v>4.0</v>
      </c>
      <c r="H48" s="114">
        <v>5.0</v>
      </c>
      <c r="I48" s="36"/>
      <c r="J48" s="116">
        <f t="shared" si="6"/>
        <v>4.5</v>
      </c>
      <c r="K48" s="114">
        <v>4.0</v>
      </c>
      <c r="L48" s="114" t="s">
        <v>247</v>
      </c>
      <c r="M48" s="36"/>
    </row>
    <row r="49" ht="15.75" customHeight="1">
      <c r="A49" s="36"/>
      <c r="B49" s="36"/>
      <c r="C49" s="114" t="s">
        <v>220</v>
      </c>
      <c r="D49" s="36"/>
      <c r="E49" s="114" t="s">
        <v>218</v>
      </c>
      <c r="F49" s="114" t="s">
        <v>218</v>
      </c>
      <c r="G49" s="114">
        <v>3.0</v>
      </c>
      <c r="H49" s="114">
        <v>3.0</v>
      </c>
      <c r="I49" s="36"/>
      <c r="J49" s="116">
        <f t="shared" si="6"/>
        <v>3</v>
      </c>
      <c r="K49" s="114">
        <v>4.0</v>
      </c>
      <c r="L49" s="114" t="s">
        <v>248</v>
      </c>
      <c r="M49" s="36"/>
    </row>
    <row r="50" ht="15.75" customHeight="1">
      <c r="A50" s="36"/>
      <c r="B50" s="36"/>
      <c r="C50" s="114" t="s">
        <v>249</v>
      </c>
      <c r="D50" s="36"/>
      <c r="E50" s="114" t="s">
        <v>218</v>
      </c>
      <c r="F50" s="114" t="s">
        <v>219</v>
      </c>
      <c r="G50" s="114">
        <v>2.0</v>
      </c>
      <c r="H50" s="114">
        <v>2.0</v>
      </c>
      <c r="I50" s="36"/>
      <c r="J50" s="116">
        <f t="shared" si="6"/>
        <v>2</v>
      </c>
      <c r="K50" s="114">
        <v>1.0</v>
      </c>
      <c r="L50" s="114" t="s">
        <v>250</v>
      </c>
      <c r="M50" s="36"/>
    </row>
    <row r="51" ht="15.75" customHeight="1">
      <c r="A51" s="36"/>
      <c r="B51" s="36"/>
      <c r="C51" s="114" t="s">
        <v>48</v>
      </c>
      <c r="D51" s="36"/>
      <c r="E51" s="114" t="s">
        <v>218</v>
      </c>
      <c r="F51" s="114" t="s">
        <v>218</v>
      </c>
      <c r="G51" s="114">
        <v>4.0</v>
      </c>
      <c r="H51" s="114">
        <v>3.0</v>
      </c>
      <c r="I51" s="36"/>
      <c r="J51" s="116">
        <f t="shared" si="6"/>
        <v>3.5</v>
      </c>
      <c r="K51" s="114">
        <v>4.0</v>
      </c>
      <c r="L51" s="114" t="s">
        <v>251</v>
      </c>
      <c r="M51" s="36"/>
    </row>
    <row r="52" ht="15.75" customHeight="1">
      <c r="A52" s="36"/>
      <c r="B52" s="36"/>
      <c r="C52" s="114" t="s">
        <v>58</v>
      </c>
      <c r="D52" s="36"/>
      <c r="E52" s="114" t="s">
        <v>218</v>
      </c>
      <c r="F52" s="114" t="s">
        <v>219</v>
      </c>
      <c r="G52" s="114">
        <v>3.0</v>
      </c>
      <c r="H52" s="114">
        <v>5.0</v>
      </c>
      <c r="I52" s="36"/>
      <c r="J52" s="116">
        <f t="shared" si="6"/>
        <v>4</v>
      </c>
      <c r="K52" s="114">
        <v>3.0</v>
      </c>
      <c r="L52" s="114" t="s">
        <v>252</v>
      </c>
      <c r="M52" s="36"/>
    </row>
    <row r="53" ht="15.75" customHeight="1">
      <c r="A53" s="36"/>
      <c r="B53" s="36"/>
      <c r="C53" s="114" t="s">
        <v>39</v>
      </c>
      <c r="D53" s="36"/>
      <c r="E53" s="114" t="s">
        <v>218</v>
      </c>
      <c r="F53" s="114" t="s">
        <v>219</v>
      </c>
      <c r="G53" s="114">
        <v>3.0</v>
      </c>
      <c r="H53" s="114">
        <v>5.0</v>
      </c>
      <c r="I53" s="36"/>
      <c r="J53" s="116">
        <f t="shared" si="6"/>
        <v>4</v>
      </c>
      <c r="K53" s="114">
        <v>4.0</v>
      </c>
      <c r="L53" s="114" t="s">
        <v>251</v>
      </c>
      <c r="M53" s="36"/>
    </row>
    <row r="54" ht="15.75" customHeight="1">
      <c r="A54" s="36"/>
      <c r="B54" s="36"/>
      <c r="C54" s="114" t="s">
        <v>222</v>
      </c>
      <c r="D54" s="36"/>
      <c r="E54" s="114" t="s">
        <v>218</v>
      </c>
      <c r="F54" s="114" t="s">
        <v>219</v>
      </c>
      <c r="G54" s="114">
        <v>3.0</v>
      </c>
      <c r="H54" s="114">
        <v>4.0</v>
      </c>
      <c r="I54" s="36"/>
      <c r="J54" s="116">
        <f t="shared" si="6"/>
        <v>3.5</v>
      </c>
      <c r="K54" s="114">
        <v>3.0</v>
      </c>
      <c r="L54" s="114" t="s">
        <v>253</v>
      </c>
      <c r="M54" s="36"/>
    </row>
    <row r="55" ht="15.75" customHeight="1">
      <c r="A55" s="36"/>
      <c r="B55" s="36"/>
      <c r="C55" s="114" t="s">
        <v>254</v>
      </c>
      <c r="D55" s="36"/>
      <c r="E55" s="114" t="s">
        <v>219</v>
      </c>
      <c r="F55" s="36"/>
      <c r="G55" s="36"/>
      <c r="H55" s="36"/>
      <c r="I55" s="36"/>
      <c r="J55" s="116" t="str">
        <f t="shared" si="6"/>
        <v/>
      </c>
      <c r="K55" s="36"/>
      <c r="L55" s="36"/>
      <c r="M55" s="36"/>
    </row>
    <row r="56" ht="15.75" customHeight="1">
      <c r="A56" s="36"/>
      <c r="B56" s="36"/>
      <c r="C56" s="114" t="s">
        <v>229</v>
      </c>
      <c r="D56" s="36"/>
      <c r="E56" s="114" t="s">
        <v>219</v>
      </c>
      <c r="F56" s="36"/>
      <c r="G56" s="36"/>
      <c r="H56" s="36"/>
      <c r="I56" s="36"/>
      <c r="J56" s="116" t="str">
        <f t="shared" si="6"/>
        <v/>
      </c>
      <c r="K56" s="36"/>
      <c r="L56" s="36"/>
      <c r="M56" s="36"/>
    </row>
    <row r="57" ht="15.75" customHeight="1">
      <c r="A57" s="36"/>
      <c r="B57" s="36"/>
      <c r="C57" s="114" t="s">
        <v>65</v>
      </c>
      <c r="D57" s="36"/>
      <c r="E57" s="114" t="s">
        <v>219</v>
      </c>
      <c r="F57" s="36"/>
      <c r="G57" s="36"/>
      <c r="H57" s="36"/>
      <c r="I57" s="36"/>
      <c r="J57" s="116" t="str">
        <f t="shared" si="6"/>
        <v/>
      </c>
      <c r="K57" s="36"/>
      <c r="L57" s="36"/>
      <c r="M57" s="36"/>
    </row>
    <row r="58" ht="15.75" customHeight="1">
      <c r="A58" s="114"/>
      <c r="B58" s="115"/>
      <c r="C58" s="114"/>
      <c r="D58" s="36"/>
      <c r="E58" s="114"/>
      <c r="F58" s="36"/>
      <c r="G58" s="36"/>
      <c r="H58" s="36"/>
      <c r="I58" s="36"/>
      <c r="J58" s="116" t="str">
        <f t="shared" si="6"/>
        <v/>
      </c>
      <c r="K58" s="36"/>
      <c r="L58" s="36"/>
      <c r="M58" s="36"/>
    </row>
    <row r="59" ht="15.75" customHeight="1">
      <c r="A59" s="118" t="s">
        <v>164</v>
      </c>
      <c r="B59" s="119">
        <v>46093.0</v>
      </c>
      <c r="C59" s="120" t="s">
        <v>220</v>
      </c>
      <c r="D59" s="36"/>
      <c r="E59" s="114" t="s">
        <v>218</v>
      </c>
      <c r="F59" s="114" t="s">
        <v>219</v>
      </c>
      <c r="G59" s="114">
        <v>2.0</v>
      </c>
      <c r="H59" s="114">
        <v>3.0</v>
      </c>
      <c r="I59" s="114">
        <v>2.0</v>
      </c>
      <c r="J59" s="116">
        <f t="shared" si="6"/>
        <v>2.333333333</v>
      </c>
      <c r="K59" s="114">
        <v>3.0</v>
      </c>
      <c r="L59" s="114" t="s">
        <v>255</v>
      </c>
      <c r="M59" s="36"/>
    </row>
    <row r="60" ht="15.75" customHeight="1">
      <c r="A60" s="118"/>
      <c r="B60" s="118"/>
      <c r="C60" s="120" t="s">
        <v>52</v>
      </c>
      <c r="D60" s="36"/>
      <c r="E60" s="114" t="s">
        <v>218</v>
      </c>
      <c r="F60" s="114" t="s">
        <v>218</v>
      </c>
      <c r="G60" s="114">
        <v>3.0</v>
      </c>
      <c r="H60" s="114">
        <v>3.0</v>
      </c>
      <c r="I60" s="114">
        <v>3.0</v>
      </c>
      <c r="J60" s="116">
        <f t="shared" si="6"/>
        <v>3</v>
      </c>
      <c r="K60" s="114">
        <v>3.0</v>
      </c>
      <c r="L60" s="114" t="s">
        <v>256</v>
      </c>
      <c r="M60" s="36"/>
    </row>
    <row r="61" ht="15.75" customHeight="1">
      <c r="A61" s="118"/>
      <c r="B61" s="118"/>
      <c r="C61" s="120" t="s">
        <v>232</v>
      </c>
      <c r="D61" s="36"/>
      <c r="E61" s="114" t="s">
        <v>219</v>
      </c>
      <c r="F61" s="114" t="s">
        <v>230</v>
      </c>
      <c r="G61" s="114">
        <v>0.0</v>
      </c>
      <c r="H61" s="114">
        <v>0.0</v>
      </c>
      <c r="I61" s="114">
        <v>0.0</v>
      </c>
      <c r="J61" s="116">
        <f t="shared" si="6"/>
        <v>0</v>
      </c>
      <c r="K61" s="114">
        <v>0.0</v>
      </c>
      <c r="L61" s="114" t="s">
        <v>230</v>
      </c>
      <c r="M61" s="36"/>
    </row>
    <row r="62" ht="15.75" customHeight="1">
      <c r="A62" s="118"/>
      <c r="B62" s="118"/>
      <c r="C62" s="120" t="s">
        <v>234</v>
      </c>
      <c r="D62" s="36"/>
      <c r="E62" s="114" t="s">
        <v>218</v>
      </c>
      <c r="F62" s="114" t="s">
        <v>219</v>
      </c>
      <c r="G62" s="114">
        <v>2.0</v>
      </c>
      <c r="H62" s="114">
        <v>1.0</v>
      </c>
      <c r="I62" s="114">
        <v>2.0</v>
      </c>
      <c r="J62" s="116">
        <f t="shared" si="6"/>
        <v>1.666666667</v>
      </c>
      <c r="K62" s="114">
        <v>3.0</v>
      </c>
      <c r="L62" s="114" t="s">
        <v>257</v>
      </c>
      <c r="M62" s="36"/>
    </row>
    <row r="63" ht="15.75" customHeight="1">
      <c r="A63" s="118"/>
      <c r="B63" s="118"/>
      <c r="C63" s="120" t="s">
        <v>83</v>
      </c>
      <c r="D63" s="36"/>
      <c r="E63" s="114" t="s">
        <v>219</v>
      </c>
      <c r="F63" s="114" t="s">
        <v>230</v>
      </c>
      <c r="G63" s="114">
        <v>0.0</v>
      </c>
      <c r="H63" s="114">
        <v>0.0</v>
      </c>
      <c r="I63" s="114">
        <v>0.0</v>
      </c>
      <c r="J63" s="116">
        <f t="shared" si="6"/>
        <v>0</v>
      </c>
      <c r="K63" s="114">
        <v>0.0</v>
      </c>
      <c r="L63" s="114" t="s">
        <v>230</v>
      </c>
      <c r="M63" s="36"/>
    </row>
    <row r="64" ht="15.75" customHeight="1">
      <c r="A64" s="118"/>
      <c r="B64" s="118"/>
      <c r="C64" s="118" t="s">
        <v>237</v>
      </c>
      <c r="D64" s="36"/>
      <c r="E64" s="114" t="s">
        <v>218</v>
      </c>
      <c r="F64" s="114" t="s">
        <v>218</v>
      </c>
      <c r="G64" s="114">
        <v>3.0</v>
      </c>
      <c r="H64" s="114">
        <v>3.0</v>
      </c>
      <c r="I64" s="114">
        <v>3.0</v>
      </c>
      <c r="J64" s="116">
        <f t="shared" si="6"/>
        <v>3</v>
      </c>
      <c r="K64" s="114">
        <v>3.0</v>
      </c>
      <c r="L64" s="114" t="s">
        <v>258</v>
      </c>
      <c r="M64" s="36"/>
    </row>
    <row r="65" ht="15.75" customHeight="1">
      <c r="A65" s="36"/>
      <c r="B65" s="36"/>
      <c r="C65" s="36"/>
      <c r="D65" s="36"/>
      <c r="E65" s="36"/>
      <c r="F65" s="36"/>
      <c r="G65" s="36"/>
      <c r="H65" s="36"/>
      <c r="I65" s="36"/>
      <c r="J65" s="116" t="str">
        <f t="shared" si="6"/>
        <v/>
      </c>
      <c r="K65" s="36"/>
      <c r="L65" s="36"/>
      <c r="M65" s="36"/>
    </row>
    <row r="66" ht="15.75" customHeight="1">
      <c r="A66" s="114" t="s">
        <v>170</v>
      </c>
      <c r="B66" s="117">
        <v>46097.0</v>
      </c>
      <c r="C66" s="114" t="s">
        <v>220</v>
      </c>
      <c r="D66" s="36"/>
      <c r="E66" s="114" t="s">
        <v>218</v>
      </c>
      <c r="F66" s="114" t="s">
        <v>219</v>
      </c>
      <c r="G66" s="114">
        <v>4.0</v>
      </c>
      <c r="H66" s="114">
        <v>4.0</v>
      </c>
      <c r="I66" s="114">
        <v>5.0</v>
      </c>
      <c r="J66" s="116">
        <f t="shared" si="6"/>
        <v>4.333333333</v>
      </c>
      <c r="K66" s="114">
        <v>4.0</v>
      </c>
      <c r="L66" s="114" t="s">
        <v>251</v>
      </c>
      <c r="M66" s="36"/>
    </row>
    <row r="67" ht="15.75" customHeight="1">
      <c r="A67" s="36"/>
      <c r="B67" s="36"/>
      <c r="C67" s="114" t="s">
        <v>222</v>
      </c>
      <c r="D67" s="36"/>
      <c r="E67" s="114" t="s">
        <v>218</v>
      </c>
      <c r="F67" s="114" t="s">
        <v>219</v>
      </c>
      <c r="G67" s="114">
        <v>4.0</v>
      </c>
      <c r="H67" s="114">
        <v>4.0</v>
      </c>
      <c r="I67" s="114">
        <v>5.0</v>
      </c>
      <c r="J67" s="116">
        <f t="shared" si="6"/>
        <v>4.333333333</v>
      </c>
      <c r="K67" s="114">
        <v>4.0</v>
      </c>
      <c r="L67" s="114" t="s">
        <v>259</v>
      </c>
      <c r="M67" s="36"/>
    </row>
    <row r="68" ht="15.75" customHeight="1">
      <c r="A68" s="36"/>
      <c r="B68" s="36"/>
      <c r="C68" s="114" t="s">
        <v>229</v>
      </c>
      <c r="D68" s="36"/>
      <c r="E68" s="114" t="s">
        <v>219</v>
      </c>
      <c r="F68" s="114" t="s">
        <v>230</v>
      </c>
      <c r="G68" s="114">
        <v>0.0</v>
      </c>
      <c r="H68" s="114">
        <v>0.0</v>
      </c>
      <c r="I68" s="114">
        <v>0.0</v>
      </c>
      <c r="J68" s="116">
        <f t="shared" si="6"/>
        <v>0</v>
      </c>
      <c r="K68" s="36"/>
      <c r="L68" s="114" t="s">
        <v>230</v>
      </c>
      <c r="M68" s="36"/>
    </row>
    <row r="69" ht="15.75" customHeight="1">
      <c r="A69" s="114" t="s">
        <v>176</v>
      </c>
      <c r="B69" s="117">
        <v>46099.0</v>
      </c>
      <c r="C69" s="114" t="s">
        <v>220</v>
      </c>
      <c r="D69" s="36"/>
      <c r="E69" s="114" t="s">
        <v>218</v>
      </c>
      <c r="F69" s="114" t="s">
        <v>219</v>
      </c>
      <c r="G69" s="114">
        <v>4.0</v>
      </c>
      <c r="H69" s="114">
        <v>3.0</v>
      </c>
      <c r="I69" s="114">
        <v>5.0</v>
      </c>
      <c r="J69" s="116">
        <f t="shared" si="6"/>
        <v>4</v>
      </c>
      <c r="K69" s="114">
        <v>4.0</v>
      </c>
      <c r="L69" s="114" t="s">
        <v>260</v>
      </c>
      <c r="M69" s="36"/>
    </row>
    <row r="70" ht="15.75" customHeight="1">
      <c r="A70" s="36"/>
      <c r="B70" s="36"/>
      <c r="C70" s="114" t="s">
        <v>222</v>
      </c>
      <c r="D70" s="36"/>
      <c r="E70" s="114" t="s">
        <v>218</v>
      </c>
      <c r="F70" s="114" t="s">
        <v>219</v>
      </c>
      <c r="G70" s="114">
        <v>4.0</v>
      </c>
      <c r="H70" s="114">
        <v>4.0</v>
      </c>
      <c r="I70" s="114">
        <v>3.0</v>
      </c>
      <c r="J70" s="116">
        <f t="shared" si="6"/>
        <v>3.666666667</v>
      </c>
      <c r="K70" s="114">
        <v>4.0</v>
      </c>
      <c r="L70" s="114" t="s">
        <v>261</v>
      </c>
      <c r="M70" s="36"/>
    </row>
    <row r="71" ht="15.75" customHeight="1">
      <c r="A71" s="36"/>
      <c r="B71" s="36"/>
      <c r="C71" s="114" t="s">
        <v>229</v>
      </c>
      <c r="D71" s="36"/>
      <c r="E71" s="114" t="s">
        <v>219</v>
      </c>
      <c r="F71" s="114" t="s">
        <v>230</v>
      </c>
      <c r="G71" s="114">
        <v>0.0</v>
      </c>
      <c r="H71" s="114">
        <v>0.0</v>
      </c>
      <c r="I71" s="114">
        <v>0.0</v>
      </c>
      <c r="J71" s="116">
        <f t="shared" si="6"/>
        <v>0</v>
      </c>
      <c r="K71" s="114">
        <v>0.0</v>
      </c>
      <c r="L71" s="114" t="s">
        <v>230</v>
      </c>
      <c r="M71" s="36"/>
    </row>
    <row r="72" ht="15.75" customHeight="1">
      <c r="A72" s="36"/>
      <c r="B72" s="36"/>
      <c r="C72" s="36"/>
      <c r="D72" s="36"/>
      <c r="E72" s="36"/>
      <c r="F72" s="36"/>
      <c r="G72" s="36"/>
      <c r="H72" s="36"/>
      <c r="I72" s="36"/>
      <c r="J72" s="116" t="str">
        <f t="shared" si="6"/>
        <v/>
      </c>
      <c r="K72" s="36"/>
      <c r="L72" s="36"/>
      <c r="M72" s="36"/>
    </row>
    <row r="73" ht="15.75" customHeight="1">
      <c r="A73" s="121" t="s">
        <v>188</v>
      </c>
      <c r="B73" s="122">
        <v>46100.0</v>
      </c>
      <c r="C73" s="120" t="s">
        <v>220</v>
      </c>
      <c r="D73" s="36"/>
      <c r="E73" s="114" t="s">
        <v>218</v>
      </c>
      <c r="F73" s="114" t="s">
        <v>219</v>
      </c>
      <c r="G73" s="114">
        <v>3.0</v>
      </c>
      <c r="H73" s="114">
        <v>3.0</v>
      </c>
      <c r="I73" s="114">
        <v>3.0</v>
      </c>
      <c r="J73" s="116">
        <f t="shared" si="6"/>
        <v>3</v>
      </c>
      <c r="K73" s="114">
        <v>4.0</v>
      </c>
      <c r="L73" s="114" t="s">
        <v>262</v>
      </c>
      <c r="M73" s="114"/>
    </row>
    <row r="74" ht="15.75" customHeight="1">
      <c r="A74" s="118"/>
      <c r="B74" s="118"/>
      <c r="C74" s="120" t="s">
        <v>52</v>
      </c>
      <c r="D74" s="36"/>
      <c r="E74" s="114" t="s">
        <v>218</v>
      </c>
      <c r="F74" s="114" t="s">
        <v>218</v>
      </c>
      <c r="G74" s="114">
        <v>3.0</v>
      </c>
      <c r="H74" s="114">
        <v>2.0</v>
      </c>
      <c r="I74" s="114">
        <v>4.0</v>
      </c>
      <c r="J74" s="116">
        <f t="shared" si="6"/>
        <v>3</v>
      </c>
      <c r="K74" s="114">
        <v>2.0</v>
      </c>
      <c r="L74" s="114" t="s">
        <v>263</v>
      </c>
      <c r="M74" s="36"/>
    </row>
    <row r="75" ht="15.75" customHeight="1">
      <c r="A75" s="118"/>
      <c r="B75" s="118"/>
      <c r="C75" s="120" t="s">
        <v>232</v>
      </c>
      <c r="D75" s="36"/>
      <c r="E75" s="114" t="s">
        <v>218</v>
      </c>
      <c r="F75" s="114" t="s">
        <v>218</v>
      </c>
      <c r="G75" s="114">
        <v>3.0</v>
      </c>
      <c r="H75" s="114">
        <v>2.0</v>
      </c>
      <c r="I75" s="114">
        <v>4.0</v>
      </c>
      <c r="J75" s="116">
        <f t="shared" si="6"/>
        <v>3</v>
      </c>
      <c r="K75" s="114">
        <v>2.0</v>
      </c>
      <c r="L75" s="114" t="s">
        <v>264</v>
      </c>
      <c r="M75" s="36"/>
    </row>
    <row r="76" ht="15.75" customHeight="1">
      <c r="A76" s="118"/>
      <c r="B76" s="118"/>
      <c r="C76" s="120" t="s">
        <v>234</v>
      </c>
      <c r="D76" s="36"/>
      <c r="E76" s="114" t="s">
        <v>218</v>
      </c>
      <c r="F76" s="114" t="s">
        <v>219</v>
      </c>
      <c r="G76" s="114">
        <v>3.0</v>
      </c>
      <c r="H76" s="114">
        <v>3.0</v>
      </c>
      <c r="I76" s="114">
        <v>3.0</v>
      </c>
      <c r="J76" s="116">
        <f t="shared" si="6"/>
        <v>3</v>
      </c>
      <c r="K76" s="114">
        <v>4.0</v>
      </c>
      <c r="L76" s="114" t="s">
        <v>265</v>
      </c>
      <c r="M76" s="36"/>
    </row>
    <row r="77" ht="15.75" customHeight="1">
      <c r="A77" s="118"/>
      <c r="B77" s="118"/>
      <c r="C77" s="120" t="s">
        <v>83</v>
      </c>
      <c r="D77" s="36"/>
      <c r="E77" s="114" t="s">
        <v>219</v>
      </c>
      <c r="F77" s="114" t="s">
        <v>230</v>
      </c>
      <c r="G77" s="114">
        <v>0.0</v>
      </c>
      <c r="H77" s="114">
        <v>0.0</v>
      </c>
      <c r="I77" s="114">
        <v>0.0</v>
      </c>
      <c r="J77" s="116">
        <f t="shared" si="6"/>
        <v>0</v>
      </c>
      <c r="K77" s="114">
        <v>0.0</v>
      </c>
      <c r="L77" s="114" t="s">
        <v>230</v>
      </c>
      <c r="M77" s="36"/>
    </row>
    <row r="78" ht="15.75" customHeight="1">
      <c r="A78" s="118"/>
      <c r="B78" s="118"/>
      <c r="C78" s="118" t="s">
        <v>237</v>
      </c>
      <c r="D78" s="36"/>
      <c r="E78" s="114" t="s">
        <v>218</v>
      </c>
      <c r="F78" s="114" t="s">
        <v>219</v>
      </c>
      <c r="G78" s="114">
        <v>3.0</v>
      </c>
      <c r="H78" s="114">
        <v>3.0</v>
      </c>
      <c r="I78" s="114">
        <v>3.0</v>
      </c>
      <c r="J78" s="116">
        <f t="shared" si="6"/>
        <v>3</v>
      </c>
      <c r="K78" s="114">
        <v>3.0</v>
      </c>
      <c r="L78" s="114" t="s">
        <v>266</v>
      </c>
      <c r="M78" s="36"/>
    </row>
    <row r="79" ht="15.75" customHeight="1">
      <c r="A79" s="36"/>
      <c r="B79" s="36"/>
      <c r="C79" s="36"/>
      <c r="D79" s="36"/>
      <c r="E79" s="36"/>
      <c r="F79" s="36"/>
      <c r="G79" s="36"/>
      <c r="H79" s="36"/>
      <c r="I79" s="36"/>
      <c r="J79" s="116" t="str">
        <f t="shared" si="6"/>
        <v/>
      </c>
      <c r="K79" s="36"/>
      <c r="L79" s="36"/>
      <c r="M79" s="36"/>
    </row>
    <row r="80" ht="15.75" customHeight="1">
      <c r="A80" s="36"/>
      <c r="B80" s="36"/>
      <c r="C80" s="36"/>
      <c r="D80" s="36"/>
      <c r="E80" s="36"/>
      <c r="F80" s="36"/>
      <c r="G80" s="36"/>
      <c r="H80" s="36"/>
      <c r="I80" s="36"/>
      <c r="J80" s="116" t="str">
        <f t="shared" si="6"/>
        <v/>
      </c>
      <c r="K80" s="36"/>
      <c r="L80" s="36"/>
      <c r="M80" s="36"/>
    </row>
    <row r="81" ht="15.75" customHeight="1">
      <c r="A81" s="114" t="s">
        <v>196</v>
      </c>
      <c r="B81" s="36"/>
      <c r="C81" s="114" t="s">
        <v>220</v>
      </c>
      <c r="D81" s="36"/>
      <c r="E81" s="114" t="s">
        <v>218</v>
      </c>
      <c r="F81" s="114" t="s">
        <v>219</v>
      </c>
      <c r="G81" s="114">
        <v>5.0</v>
      </c>
      <c r="H81" s="114">
        <v>5.0</v>
      </c>
      <c r="I81" s="114">
        <v>5.0</v>
      </c>
      <c r="J81" s="116">
        <f t="shared" si="6"/>
        <v>5</v>
      </c>
      <c r="K81" s="114">
        <v>5.0</v>
      </c>
      <c r="L81" s="114" t="s">
        <v>267</v>
      </c>
      <c r="M81" s="36"/>
    </row>
    <row r="82" ht="15.75" customHeight="1">
      <c r="A82" s="36"/>
      <c r="B82" s="36"/>
      <c r="C82" s="114" t="s">
        <v>222</v>
      </c>
      <c r="D82" s="36"/>
      <c r="E82" s="114" t="s">
        <v>218</v>
      </c>
      <c r="F82" s="114" t="s">
        <v>219</v>
      </c>
      <c r="G82" s="114">
        <v>5.0</v>
      </c>
      <c r="H82" s="114">
        <v>5.0</v>
      </c>
      <c r="I82" s="114">
        <v>5.0</v>
      </c>
      <c r="J82" s="116">
        <f t="shared" si="6"/>
        <v>5</v>
      </c>
      <c r="K82" s="114">
        <v>5.0</v>
      </c>
      <c r="L82" s="114" t="s">
        <v>268</v>
      </c>
      <c r="M82" s="36"/>
    </row>
    <row r="83" ht="15.75" customHeight="1">
      <c r="A83" s="36"/>
      <c r="B83" s="36"/>
      <c r="C83" s="36"/>
      <c r="D83" s="36"/>
      <c r="E83" s="36"/>
      <c r="F83" s="36"/>
      <c r="G83" s="36"/>
      <c r="H83" s="36"/>
      <c r="I83" s="36"/>
      <c r="J83" s="116" t="str">
        <f t="shared" si="6"/>
        <v/>
      </c>
      <c r="K83" s="36"/>
      <c r="L83" s="36"/>
      <c r="M83" s="36"/>
    </row>
    <row r="84" ht="15.75" customHeight="1">
      <c r="A84" s="36"/>
      <c r="B84" s="36"/>
      <c r="C84" s="36"/>
      <c r="D84" s="36"/>
      <c r="E84" s="36"/>
      <c r="F84" s="36"/>
      <c r="G84" s="36"/>
      <c r="H84" s="36"/>
      <c r="I84" s="36"/>
      <c r="J84" s="116" t="str">
        <f t="shared" si="6"/>
        <v/>
      </c>
      <c r="K84" s="36"/>
      <c r="L84" s="36"/>
      <c r="M84" s="36"/>
    </row>
    <row r="85" ht="15.75" customHeight="1">
      <c r="A85" s="36"/>
      <c r="B85" s="36"/>
      <c r="C85" s="36"/>
      <c r="D85" s="36"/>
      <c r="E85" s="36"/>
      <c r="F85" s="36"/>
      <c r="G85" s="36"/>
      <c r="H85" s="36"/>
      <c r="I85" s="36"/>
      <c r="J85" s="116" t="str">
        <f t="shared" si="6"/>
        <v/>
      </c>
      <c r="K85" s="36"/>
      <c r="L85" s="36"/>
      <c r="M85" s="36"/>
    </row>
    <row r="86" ht="15.75" customHeight="1">
      <c r="A86" s="36"/>
      <c r="B86" s="36"/>
      <c r="C86" s="36"/>
      <c r="D86" s="36"/>
      <c r="E86" s="36"/>
      <c r="F86" s="36"/>
      <c r="G86" s="36"/>
      <c r="H86" s="36"/>
      <c r="I86" s="36"/>
      <c r="J86" s="116" t="str">
        <f t="shared" si="6"/>
        <v/>
      </c>
      <c r="K86" s="36"/>
      <c r="L86" s="36"/>
      <c r="M86" s="36"/>
    </row>
    <row r="87" ht="15.75" customHeight="1">
      <c r="A87" s="36"/>
      <c r="B87" s="36"/>
      <c r="C87" s="36"/>
      <c r="D87" s="36"/>
      <c r="E87" s="36"/>
      <c r="F87" s="36"/>
      <c r="G87" s="36"/>
      <c r="H87" s="36"/>
      <c r="I87" s="36"/>
      <c r="J87" s="116" t="str">
        <f t="shared" si="6"/>
        <v/>
      </c>
      <c r="K87" s="36"/>
      <c r="L87" s="36"/>
      <c r="M87" s="36"/>
    </row>
    <row r="88" ht="15.75" customHeight="1">
      <c r="A88" s="36"/>
      <c r="B88" s="36"/>
      <c r="C88" s="36"/>
      <c r="D88" s="36"/>
      <c r="E88" s="36"/>
      <c r="F88" s="36"/>
      <c r="G88" s="36"/>
      <c r="H88" s="36"/>
      <c r="I88" s="36"/>
      <c r="J88" s="116" t="str">
        <f t="shared" si="6"/>
        <v/>
      </c>
      <c r="K88" s="36"/>
      <c r="L88" s="36"/>
      <c r="M88" s="36"/>
    </row>
    <row r="89" ht="15.75" customHeight="1">
      <c r="A89" s="36"/>
      <c r="B89" s="36"/>
      <c r="C89" s="36"/>
      <c r="D89" s="36"/>
      <c r="E89" s="36"/>
      <c r="F89" s="36"/>
      <c r="G89" s="36"/>
      <c r="H89" s="36"/>
      <c r="I89" s="36"/>
      <c r="J89" s="116" t="str">
        <f t="shared" si="6"/>
        <v/>
      </c>
      <c r="K89" s="36"/>
      <c r="L89" s="36"/>
      <c r="M89" s="36"/>
    </row>
    <row r="90" ht="15.75" customHeight="1">
      <c r="A90" s="36"/>
      <c r="B90" s="36"/>
      <c r="C90" s="36"/>
      <c r="D90" s="36"/>
      <c r="E90" s="36"/>
      <c r="F90" s="36"/>
      <c r="G90" s="36"/>
      <c r="H90" s="36"/>
      <c r="I90" s="36"/>
      <c r="J90" s="116" t="str">
        <f t="shared" si="6"/>
        <v/>
      </c>
      <c r="K90" s="36"/>
      <c r="L90" s="36"/>
      <c r="M90" s="36"/>
    </row>
    <row r="91" ht="15.75" customHeight="1">
      <c r="A91" s="36"/>
      <c r="B91" s="36"/>
      <c r="C91" s="36"/>
      <c r="D91" s="36"/>
      <c r="E91" s="36"/>
      <c r="F91" s="36"/>
      <c r="G91" s="36"/>
      <c r="H91" s="36"/>
      <c r="I91" s="36"/>
      <c r="J91" s="116" t="str">
        <f t="shared" si="6"/>
        <v/>
      </c>
      <c r="K91" s="36"/>
      <c r="L91" s="36"/>
      <c r="M91" s="36"/>
    </row>
    <row r="92" ht="15.75" customHeight="1">
      <c r="A92" s="36"/>
      <c r="B92" s="36"/>
      <c r="C92" s="36"/>
      <c r="D92" s="36"/>
      <c r="E92" s="36"/>
      <c r="F92" s="36"/>
      <c r="G92" s="36"/>
      <c r="H92" s="36"/>
      <c r="I92" s="36"/>
      <c r="J92" s="116" t="str">
        <f t="shared" si="6"/>
        <v/>
      </c>
      <c r="K92" s="36"/>
      <c r="L92" s="36"/>
      <c r="M92" s="36"/>
    </row>
    <row r="93" ht="15.75" customHeight="1">
      <c r="A93" s="36"/>
      <c r="B93" s="36"/>
      <c r="C93" s="36"/>
      <c r="D93" s="36"/>
      <c r="E93" s="36"/>
      <c r="F93" s="36"/>
      <c r="G93" s="36"/>
      <c r="H93" s="36"/>
      <c r="I93" s="36"/>
      <c r="J93" s="116" t="str">
        <f t="shared" si="6"/>
        <v/>
      </c>
      <c r="K93" s="36"/>
      <c r="L93" s="36"/>
      <c r="M93" s="36"/>
    </row>
    <row r="94" ht="15.75" customHeight="1">
      <c r="A94" s="36"/>
      <c r="B94" s="36"/>
      <c r="C94" s="36"/>
      <c r="D94" s="36"/>
      <c r="E94" s="36"/>
      <c r="F94" s="36"/>
      <c r="G94" s="36"/>
      <c r="H94" s="36"/>
      <c r="I94" s="36"/>
      <c r="J94" s="116" t="str">
        <f t="shared" si="6"/>
        <v/>
      </c>
      <c r="K94" s="36"/>
      <c r="L94" s="36"/>
      <c r="M94" s="36"/>
    </row>
    <row r="95" ht="15.75" customHeight="1">
      <c r="A95" s="36"/>
      <c r="B95" s="36"/>
      <c r="C95" s="36"/>
      <c r="D95" s="36"/>
      <c r="E95" s="36"/>
      <c r="F95" s="36"/>
      <c r="G95" s="36"/>
      <c r="H95" s="36"/>
      <c r="I95" s="36"/>
      <c r="J95" s="116" t="str">
        <f t="shared" si="6"/>
        <v/>
      </c>
      <c r="K95" s="36"/>
      <c r="L95" s="36"/>
      <c r="M95" s="36"/>
    </row>
    <row r="96" ht="15.75" customHeight="1">
      <c r="A96" s="36"/>
      <c r="B96" s="36"/>
      <c r="C96" s="36"/>
      <c r="D96" s="36"/>
      <c r="E96" s="36"/>
      <c r="F96" s="36"/>
      <c r="G96" s="36"/>
      <c r="H96" s="36"/>
      <c r="I96" s="36"/>
      <c r="J96" s="116" t="str">
        <f t="shared" si="6"/>
        <v/>
      </c>
      <c r="K96" s="36"/>
      <c r="L96" s="36"/>
      <c r="M96" s="36"/>
    </row>
    <row r="97" ht="15.75" customHeight="1">
      <c r="A97" s="36"/>
      <c r="B97" s="36"/>
      <c r="C97" s="36"/>
      <c r="D97" s="36"/>
      <c r="E97" s="36"/>
      <c r="F97" s="36"/>
      <c r="G97" s="36"/>
      <c r="H97" s="36"/>
      <c r="I97" s="36"/>
      <c r="J97" s="116" t="str">
        <f t="shared" si="6"/>
        <v/>
      </c>
      <c r="K97" s="36"/>
      <c r="L97" s="36"/>
      <c r="M97" s="36"/>
    </row>
    <row r="98" ht="15.75" customHeight="1">
      <c r="A98" s="36"/>
      <c r="B98" s="36"/>
      <c r="C98" s="36"/>
      <c r="D98" s="36"/>
      <c r="E98" s="36"/>
      <c r="F98" s="36"/>
      <c r="G98" s="36"/>
      <c r="H98" s="36"/>
      <c r="I98" s="36"/>
      <c r="J98" s="116" t="str">
        <f t="shared" si="6"/>
        <v/>
      </c>
      <c r="K98" s="36"/>
      <c r="L98" s="36"/>
      <c r="M98" s="36"/>
    </row>
    <row r="99" ht="15.75" customHeight="1">
      <c r="A99" s="36"/>
      <c r="B99" s="36"/>
      <c r="C99" s="36"/>
      <c r="D99" s="36"/>
      <c r="E99" s="36"/>
      <c r="F99" s="36"/>
      <c r="G99" s="36"/>
      <c r="H99" s="36"/>
      <c r="I99" s="36"/>
      <c r="J99" s="116" t="str">
        <f t="shared" si="6"/>
        <v/>
      </c>
      <c r="K99" s="36"/>
      <c r="L99" s="36"/>
      <c r="M99" s="36"/>
    </row>
    <row r="100" ht="15.75" customHeight="1">
      <c r="A100" s="36"/>
      <c r="B100" s="36"/>
      <c r="C100" s="36"/>
      <c r="D100" s="36"/>
      <c r="E100" s="36"/>
      <c r="F100" s="36"/>
      <c r="G100" s="36"/>
      <c r="H100" s="36"/>
      <c r="I100" s="36"/>
      <c r="J100" s="116" t="str">
        <f t="shared" si="6"/>
        <v/>
      </c>
      <c r="K100" s="36"/>
      <c r="L100" s="36"/>
      <c r="M100" s="36"/>
    </row>
    <row r="101" ht="15.75" customHeight="1">
      <c r="A101" s="36"/>
      <c r="B101" s="36"/>
      <c r="C101" s="36"/>
      <c r="D101" s="36"/>
      <c r="E101" s="36"/>
      <c r="F101" s="36"/>
      <c r="G101" s="36"/>
      <c r="H101" s="36"/>
      <c r="I101" s="36"/>
      <c r="J101" s="116" t="str">
        <f t="shared" si="6"/>
        <v/>
      </c>
      <c r="K101" s="36"/>
      <c r="L101" s="36"/>
      <c r="M101" s="36"/>
    </row>
    <row r="102" ht="15.75" customHeight="1">
      <c r="A102" s="36"/>
      <c r="B102" s="36"/>
      <c r="C102" s="36"/>
      <c r="D102" s="36"/>
      <c r="E102" s="36"/>
      <c r="F102" s="36"/>
      <c r="G102" s="36"/>
      <c r="H102" s="36"/>
      <c r="I102" s="36"/>
      <c r="J102" s="116" t="str">
        <f t="shared" si="6"/>
        <v/>
      </c>
      <c r="K102" s="36"/>
      <c r="L102" s="36"/>
      <c r="M102" s="36"/>
    </row>
    <row r="103" ht="15.75" customHeight="1">
      <c r="A103" s="36"/>
      <c r="B103" s="36"/>
      <c r="C103" s="36"/>
      <c r="D103" s="36"/>
      <c r="E103" s="36"/>
      <c r="F103" s="36"/>
      <c r="G103" s="36"/>
      <c r="H103" s="36"/>
      <c r="I103" s="36"/>
      <c r="J103" s="116" t="str">
        <f t="shared" si="6"/>
        <v/>
      </c>
      <c r="K103" s="36"/>
      <c r="L103" s="36"/>
      <c r="M103" s="36"/>
    </row>
    <row r="104" ht="15.75" customHeight="1">
      <c r="A104" s="36"/>
      <c r="B104" s="36"/>
      <c r="C104" s="36"/>
      <c r="D104" s="36"/>
      <c r="E104" s="36"/>
      <c r="F104" s="36"/>
      <c r="G104" s="36"/>
      <c r="H104" s="36"/>
      <c r="I104" s="36"/>
      <c r="J104" s="116" t="str">
        <f t="shared" si="6"/>
        <v/>
      </c>
      <c r="K104" s="36"/>
      <c r="L104" s="36"/>
      <c r="M104" s="36"/>
    </row>
    <row r="105" ht="15.75" customHeight="1">
      <c r="A105" s="36"/>
      <c r="B105" s="36"/>
      <c r="C105" s="36"/>
      <c r="D105" s="36"/>
      <c r="E105" s="36"/>
      <c r="F105" s="36"/>
      <c r="G105" s="36"/>
      <c r="H105" s="36"/>
      <c r="I105" s="36"/>
      <c r="J105" s="116" t="str">
        <f t="shared" si="6"/>
        <v/>
      </c>
      <c r="K105" s="36"/>
      <c r="L105" s="36"/>
      <c r="M105" s="36"/>
    </row>
    <row r="106" ht="15.75" customHeight="1">
      <c r="A106" s="36"/>
      <c r="B106" s="36"/>
      <c r="C106" s="36"/>
      <c r="D106" s="36"/>
      <c r="E106" s="36"/>
      <c r="F106" s="36"/>
      <c r="G106" s="36"/>
      <c r="H106" s="36"/>
      <c r="I106" s="36"/>
      <c r="J106" s="116" t="str">
        <f t="shared" si="6"/>
        <v/>
      </c>
      <c r="K106" s="36"/>
      <c r="L106" s="36"/>
      <c r="M106" s="36"/>
    </row>
    <row r="107" ht="15.75" customHeight="1">
      <c r="A107" s="36"/>
      <c r="B107" s="36"/>
      <c r="C107" s="36"/>
      <c r="D107" s="36"/>
      <c r="E107" s="36"/>
      <c r="F107" s="36"/>
      <c r="G107" s="36"/>
      <c r="H107" s="36"/>
      <c r="I107" s="36"/>
      <c r="J107" s="116" t="str">
        <f t="shared" si="6"/>
        <v/>
      </c>
      <c r="K107" s="36"/>
      <c r="L107" s="36"/>
      <c r="M107" s="36"/>
    </row>
    <row r="108" ht="15.75" customHeight="1">
      <c r="A108" s="36"/>
      <c r="B108" s="36"/>
      <c r="C108" s="36"/>
      <c r="D108" s="36"/>
      <c r="E108" s="36"/>
      <c r="F108" s="36"/>
      <c r="G108" s="36"/>
      <c r="H108" s="36"/>
      <c r="I108" s="36"/>
      <c r="J108" s="116" t="str">
        <f t="shared" si="6"/>
        <v/>
      </c>
      <c r="K108" s="36"/>
      <c r="L108" s="36"/>
      <c r="M108" s="36"/>
    </row>
    <row r="109" ht="15.75" customHeight="1">
      <c r="A109" s="36"/>
      <c r="B109" s="36"/>
      <c r="C109" s="36"/>
      <c r="D109" s="36"/>
      <c r="E109" s="36"/>
      <c r="F109" s="36"/>
      <c r="G109" s="36"/>
      <c r="H109" s="36"/>
      <c r="I109" s="36"/>
      <c r="J109" s="116" t="str">
        <f t="shared" si="6"/>
        <v/>
      </c>
      <c r="K109" s="36"/>
      <c r="L109" s="36"/>
      <c r="M109" s="36"/>
    </row>
    <row r="110" ht="15.75" customHeight="1">
      <c r="A110" s="36"/>
      <c r="B110" s="36"/>
      <c r="C110" s="36"/>
      <c r="D110" s="36"/>
      <c r="E110" s="36"/>
      <c r="F110" s="36"/>
      <c r="G110" s="36"/>
      <c r="H110" s="36"/>
      <c r="I110" s="36"/>
      <c r="J110" s="116" t="str">
        <f t="shared" si="6"/>
        <v/>
      </c>
      <c r="K110" s="36"/>
      <c r="L110" s="36"/>
      <c r="M110" s="36"/>
    </row>
    <row r="111" ht="15.75" customHeight="1">
      <c r="A111" s="36"/>
      <c r="B111" s="36"/>
      <c r="C111" s="36"/>
      <c r="D111" s="36"/>
      <c r="E111" s="36"/>
      <c r="F111" s="36"/>
      <c r="G111" s="36"/>
      <c r="H111" s="36"/>
      <c r="I111" s="36"/>
      <c r="J111" s="116" t="str">
        <f t="shared" si="6"/>
        <v/>
      </c>
      <c r="K111" s="36"/>
      <c r="L111" s="36"/>
      <c r="M111" s="36"/>
    </row>
    <row r="112" ht="15.75" customHeight="1">
      <c r="A112" s="36"/>
      <c r="B112" s="36"/>
      <c r="C112" s="36"/>
      <c r="D112" s="36"/>
      <c r="E112" s="36"/>
      <c r="F112" s="36"/>
      <c r="G112" s="36"/>
      <c r="H112" s="36"/>
      <c r="I112" s="36"/>
      <c r="J112" s="116" t="str">
        <f t="shared" si="6"/>
        <v/>
      </c>
      <c r="K112" s="36"/>
      <c r="L112" s="36"/>
      <c r="M112" s="36"/>
    </row>
    <row r="113" ht="15.75" customHeight="1">
      <c r="A113" s="36"/>
      <c r="B113" s="36"/>
      <c r="C113" s="36"/>
      <c r="D113" s="36"/>
      <c r="E113" s="36"/>
      <c r="F113" s="36"/>
      <c r="G113" s="36"/>
      <c r="H113" s="36"/>
      <c r="I113" s="36"/>
      <c r="J113" s="116" t="str">
        <f t="shared" si="6"/>
        <v/>
      </c>
      <c r="K113" s="36"/>
      <c r="L113" s="36"/>
      <c r="M113" s="36"/>
    </row>
    <row r="114" ht="15.75" customHeight="1">
      <c r="A114" s="36"/>
      <c r="B114" s="36"/>
      <c r="C114" s="36"/>
      <c r="D114" s="36"/>
      <c r="E114" s="36"/>
      <c r="F114" s="36"/>
      <c r="G114" s="36"/>
      <c r="H114" s="36"/>
      <c r="I114" s="36"/>
      <c r="J114" s="116" t="str">
        <f t="shared" si="6"/>
        <v/>
      </c>
      <c r="K114" s="36"/>
      <c r="L114" s="36"/>
      <c r="M114" s="36"/>
    </row>
    <row r="115" ht="15.75" customHeight="1">
      <c r="A115" s="36"/>
      <c r="B115" s="36"/>
      <c r="C115" s="36"/>
      <c r="D115" s="36"/>
      <c r="E115" s="36"/>
      <c r="F115" s="36"/>
      <c r="G115" s="36"/>
      <c r="H115" s="36"/>
      <c r="I115" s="36"/>
      <c r="J115" s="116" t="str">
        <f t="shared" si="6"/>
        <v/>
      </c>
      <c r="K115" s="36"/>
      <c r="L115" s="36"/>
      <c r="M115" s="36"/>
    </row>
    <row r="116" ht="15.75" customHeight="1">
      <c r="A116" s="36"/>
      <c r="B116" s="36"/>
      <c r="C116" s="36"/>
      <c r="D116" s="36"/>
      <c r="E116" s="36"/>
      <c r="F116" s="36"/>
      <c r="G116" s="36"/>
      <c r="H116" s="36"/>
      <c r="I116" s="36"/>
      <c r="J116" s="116" t="str">
        <f t="shared" si="6"/>
        <v/>
      </c>
      <c r="K116" s="36"/>
      <c r="L116" s="36"/>
      <c r="M116" s="36"/>
    </row>
    <row r="117" ht="15.75" customHeight="1">
      <c r="A117" s="36"/>
      <c r="B117" s="36"/>
      <c r="C117" s="36"/>
      <c r="D117" s="36"/>
      <c r="E117" s="36"/>
      <c r="F117" s="36"/>
      <c r="G117" s="36"/>
      <c r="H117" s="36"/>
      <c r="I117" s="36"/>
      <c r="J117" s="116" t="str">
        <f t="shared" si="6"/>
        <v/>
      </c>
      <c r="K117" s="36"/>
      <c r="L117" s="36"/>
      <c r="M117" s="36"/>
    </row>
    <row r="118" ht="15.75" customHeight="1">
      <c r="A118" s="36"/>
      <c r="B118" s="36"/>
      <c r="C118" s="36"/>
      <c r="D118" s="36"/>
      <c r="E118" s="36"/>
      <c r="F118" s="36"/>
      <c r="G118" s="36"/>
      <c r="H118" s="36"/>
      <c r="I118" s="36"/>
      <c r="J118" s="116" t="str">
        <f t="shared" si="6"/>
        <v/>
      </c>
      <c r="K118" s="36"/>
      <c r="L118" s="36"/>
      <c r="M118" s="36"/>
    </row>
    <row r="119" ht="15.75" customHeight="1">
      <c r="A119" s="36"/>
      <c r="B119" s="36"/>
      <c r="C119" s="36"/>
      <c r="D119" s="36"/>
      <c r="E119" s="36"/>
      <c r="F119" s="36"/>
      <c r="G119" s="36"/>
      <c r="H119" s="36"/>
      <c r="I119" s="36"/>
      <c r="J119" s="116" t="str">
        <f t="shared" si="6"/>
        <v/>
      </c>
      <c r="K119" s="36"/>
      <c r="L119" s="36"/>
      <c r="M119" s="36"/>
    </row>
    <row r="120" ht="15.75" customHeight="1">
      <c r="A120" s="36"/>
      <c r="B120" s="36"/>
      <c r="C120" s="36"/>
      <c r="D120" s="36"/>
      <c r="E120" s="36"/>
      <c r="F120" s="36"/>
      <c r="G120" s="36"/>
      <c r="H120" s="36"/>
      <c r="I120" s="36"/>
      <c r="J120" s="116" t="str">
        <f t="shared" si="6"/>
        <v/>
      </c>
      <c r="K120" s="36"/>
      <c r="L120" s="36"/>
      <c r="M120" s="36"/>
    </row>
    <row r="121" ht="15.75" customHeight="1">
      <c r="A121" s="36"/>
      <c r="B121" s="36"/>
      <c r="C121" s="36"/>
      <c r="D121" s="36"/>
      <c r="E121" s="36"/>
      <c r="F121" s="36"/>
      <c r="G121" s="36"/>
      <c r="H121" s="36"/>
      <c r="I121" s="36"/>
      <c r="J121" s="116" t="str">
        <f t="shared" si="6"/>
        <v/>
      </c>
      <c r="K121" s="36"/>
      <c r="L121" s="36"/>
      <c r="M121" s="36"/>
    </row>
    <row r="122" ht="15.75" customHeight="1">
      <c r="A122" s="36"/>
      <c r="B122" s="36"/>
      <c r="C122" s="36"/>
      <c r="D122" s="36"/>
      <c r="E122" s="36"/>
      <c r="F122" s="36"/>
      <c r="G122" s="36"/>
      <c r="H122" s="36"/>
      <c r="I122" s="36"/>
      <c r="J122" s="116" t="str">
        <f t="shared" si="6"/>
        <v/>
      </c>
      <c r="K122" s="36"/>
      <c r="L122" s="36"/>
      <c r="M122" s="36"/>
    </row>
    <row r="123" ht="15.75" customHeight="1">
      <c r="A123" s="36"/>
      <c r="B123" s="36"/>
      <c r="C123" s="36"/>
      <c r="D123" s="36"/>
      <c r="E123" s="36"/>
      <c r="F123" s="36"/>
      <c r="G123" s="36"/>
      <c r="H123" s="36"/>
      <c r="I123" s="36"/>
      <c r="J123" s="116" t="str">
        <f t="shared" si="6"/>
        <v/>
      </c>
      <c r="K123" s="36"/>
      <c r="L123" s="36"/>
      <c r="M123" s="36"/>
    </row>
    <row r="124" ht="15.75" customHeight="1">
      <c r="A124" s="36"/>
      <c r="B124" s="36"/>
      <c r="C124" s="36"/>
      <c r="D124" s="36"/>
      <c r="E124" s="36"/>
      <c r="F124" s="36"/>
      <c r="G124" s="36"/>
      <c r="H124" s="36"/>
      <c r="I124" s="36"/>
      <c r="J124" s="116" t="str">
        <f t="shared" si="6"/>
        <v/>
      </c>
      <c r="K124" s="36"/>
      <c r="L124" s="36"/>
      <c r="M124" s="36"/>
    </row>
    <row r="125" ht="15.75" customHeight="1">
      <c r="A125" s="36"/>
      <c r="B125" s="36"/>
      <c r="C125" s="36"/>
      <c r="D125" s="36"/>
      <c r="E125" s="36"/>
      <c r="F125" s="36"/>
      <c r="G125" s="36"/>
      <c r="H125" s="36"/>
      <c r="I125" s="36"/>
      <c r="J125" s="116" t="str">
        <f t="shared" si="6"/>
        <v/>
      </c>
      <c r="K125" s="36"/>
      <c r="L125" s="36"/>
      <c r="M125" s="36"/>
    </row>
    <row r="126" ht="15.75" customHeight="1">
      <c r="A126" s="36"/>
      <c r="B126" s="36"/>
      <c r="C126" s="36"/>
      <c r="D126" s="36"/>
      <c r="E126" s="36"/>
      <c r="F126" s="36"/>
      <c r="G126" s="36"/>
      <c r="H126" s="36"/>
      <c r="I126" s="36"/>
      <c r="J126" s="116" t="str">
        <f t="shared" si="6"/>
        <v/>
      </c>
      <c r="K126" s="36"/>
      <c r="L126" s="36"/>
      <c r="M126" s="36"/>
    </row>
    <row r="127" ht="15.75" customHeight="1">
      <c r="A127" s="36"/>
      <c r="B127" s="36"/>
      <c r="C127" s="36"/>
      <c r="D127" s="36"/>
      <c r="E127" s="36"/>
      <c r="F127" s="36"/>
      <c r="G127" s="36"/>
      <c r="H127" s="36"/>
      <c r="I127" s="36"/>
      <c r="J127" s="116" t="str">
        <f t="shared" si="6"/>
        <v/>
      </c>
      <c r="K127" s="36"/>
      <c r="L127" s="36"/>
      <c r="M127" s="36"/>
    </row>
    <row r="128" ht="15.75" customHeight="1">
      <c r="A128" s="36"/>
      <c r="B128" s="36"/>
      <c r="C128" s="36"/>
      <c r="D128" s="36"/>
      <c r="E128" s="36"/>
      <c r="F128" s="36"/>
      <c r="G128" s="36"/>
      <c r="H128" s="36"/>
      <c r="I128" s="36"/>
      <c r="J128" s="116" t="str">
        <f t="shared" si="6"/>
        <v/>
      </c>
      <c r="K128" s="36"/>
      <c r="L128" s="36"/>
      <c r="M128" s="36"/>
    </row>
    <row r="129" ht="15.75" customHeight="1">
      <c r="A129" s="36"/>
      <c r="B129" s="36"/>
      <c r="C129" s="36"/>
      <c r="D129" s="36"/>
      <c r="E129" s="36"/>
      <c r="F129" s="36"/>
      <c r="G129" s="36"/>
      <c r="H129" s="36"/>
      <c r="I129" s="36"/>
      <c r="J129" s="116" t="str">
        <f t="shared" si="6"/>
        <v/>
      </c>
      <c r="K129" s="36"/>
      <c r="L129" s="36"/>
      <c r="M129" s="36"/>
    </row>
    <row r="130" ht="15.75" customHeight="1">
      <c r="A130" s="36"/>
      <c r="B130" s="36"/>
      <c r="C130" s="36"/>
      <c r="D130" s="36"/>
      <c r="E130" s="36"/>
      <c r="F130" s="36"/>
      <c r="G130" s="36"/>
      <c r="H130" s="36"/>
      <c r="I130" s="36"/>
      <c r="J130" s="116" t="str">
        <f t="shared" si="6"/>
        <v/>
      </c>
      <c r="K130" s="36"/>
      <c r="L130" s="36"/>
      <c r="M130" s="36"/>
    </row>
    <row r="131" ht="15.75" customHeight="1">
      <c r="A131" s="36"/>
      <c r="B131" s="36"/>
      <c r="C131" s="36"/>
      <c r="D131" s="36"/>
      <c r="E131" s="36"/>
      <c r="F131" s="36"/>
      <c r="G131" s="36"/>
      <c r="H131" s="36"/>
      <c r="I131" s="36"/>
      <c r="J131" s="116" t="str">
        <f t="shared" si="6"/>
        <v/>
      </c>
      <c r="K131" s="36"/>
      <c r="L131" s="36"/>
      <c r="M131" s="36"/>
    </row>
    <row r="132" ht="15.75" customHeight="1">
      <c r="A132" s="36"/>
      <c r="B132" s="36"/>
      <c r="C132" s="36"/>
      <c r="D132" s="36"/>
      <c r="E132" s="36"/>
      <c r="F132" s="36"/>
      <c r="G132" s="36"/>
      <c r="H132" s="36"/>
      <c r="I132" s="36"/>
      <c r="J132" s="116" t="str">
        <f t="shared" si="6"/>
        <v/>
      </c>
      <c r="K132" s="36"/>
      <c r="L132" s="36"/>
      <c r="M132" s="36"/>
    </row>
    <row r="133" ht="15.75" customHeight="1">
      <c r="A133" s="36"/>
      <c r="B133" s="36"/>
      <c r="C133" s="36"/>
      <c r="D133" s="36"/>
      <c r="E133" s="36"/>
      <c r="F133" s="36"/>
      <c r="G133" s="36"/>
      <c r="H133" s="36"/>
      <c r="I133" s="36"/>
      <c r="J133" s="116" t="str">
        <f t="shared" si="6"/>
        <v/>
      </c>
      <c r="K133" s="36"/>
      <c r="L133" s="36"/>
      <c r="M133" s="36"/>
    </row>
    <row r="134" ht="15.75" customHeight="1">
      <c r="A134" s="36"/>
      <c r="B134" s="36"/>
      <c r="C134" s="36"/>
      <c r="D134" s="36"/>
      <c r="E134" s="36"/>
      <c r="F134" s="36"/>
      <c r="G134" s="36"/>
      <c r="H134" s="36"/>
      <c r="I134" s="36"/>
      <c r="J134" s="116" t="str">
        <f t="shared" si="6"/>
        <v/>
      </c>
      <c r="K134" s="36"/>
      <c r="L134" s="36"/>
      <c r="M134" s="36"/>
    </row>
    <row r="135" ht="15.75" customHeight="1">
      <c r="A135" s="36"/>
      <c r="B135" s="36"/>
      <c r="C135" s="36"/>
      <c r="D135" s="36"/>
      <c r="E135" s="36"/>
      <c r="F135" s="36"/>
      <c r="G135" s="36"/>
      <c r="H135" s="36"/>
      <c r="I135" s="36"/>
      <c r="J135" s="116" t="str">
        <f t="shared" si="6"/>
        <v/>
      </c>
      <c r="K135" s="36"/>
      <c r="L135" s="36"/>
      <c r="M135" s="36"/>
    </row>
    <row r="136" ht="15.75" customHeight="1">
      <c r="A136" s="36"/>
      <c r="B136" s="36"/>
      <c r="C136" s="36"/>
      <c r="D136" s="36"/>
      <c r="E136" s="36"/>
      <c r="F136" s="36"/>
      <c r="G136" s="36"/>
      <c r="H136" s="36"/>
      <c r="I136" s="36"/>
      <c r="J136" s="116" t="str">
        <f t="shared" si="6"/>
        <v/>
      </c>
      <c r="K136" s="36"/>
      <c r="L136" s="36"/>
      <c r="M136" s="36"/>
    </row>
    <row r="137" ht="15.75" customHeight="1">
      <c r="A137" s="36"/>
      <c r="B137" s="36"/>
      <c r="C137" s="36"/>
      <c r="D137" s="36"/>
      <c r="E137" s="36"/>
      <c r="F137" s="36"/>
      <c r="G137" s="36"/>
      <c r="H137" s="36"/>
      <c r="I137" s="36"/>
      <c r="J137" s="116" t="str">
        <f t="shared" si="6"/>
        <v/>
      </c>
      <c r="K137" s="36"/>
      <c r="L137" s="36"/>
      <c r="M137" s="36"/>
    </row>
    <row r="138" ht="15.75" customHeight="1">
      <c r="A138" s="36"/>
      <c r="B138" s="36"/>
      <c r="C138" s="36"/>
      <c r="D138" s="36"/>
      <c r="E138" s="36"/>
      <c r="F138" s="36"/>
      <c r="G138" s="36"/>
      <c r="H138" s="36"/>
      <c r="I138" s="36"/>
      <c r="J138" s="116" t="str">
        <f t="shared" si="6"/>
        <v/>
      </c>
      <c r="K138" s="36"/>
      <c r="L138" s="36"/>
      <c r="M138" s="36"/>
    </row>
    <row r="139" ht="15.75" customHeight="1">
      <c r="A139" s="36"/>
      <c r="B139" s="36"/>
      <c r="C139" s="36"/>
      <c r="D139" s="36"/>
      <c r="E139" s="36"/>
      <c r="F139" s="36"/>
      <c r="G139" s="36"/>
      <c r="H139" s="36"/>
      <c r="I139" s="36"/>
      <c r="J139" s="116" t="str">
        <f t="shared" si="6"/>
        <v/>
      </c>
      <c r="K139" s="36"/>
      <c r="L139" s="36"/>
      <c r="M139" s="36"/>
    </row>
    <row r="140" ht="15.75" customHeight="1">
      <c r="A140" s="36"/>
      <c r="B140" s="36"/>
      <c r="C140" s="36"/>
      <c r="D140" s="36"/>
      <c r="E140" s="36"/>
      <c r="F140" s="36"/>
      <c r="G140" s="36"/>
      <c r="H140" s="36"/>
      <c r="I140" s="36"/>
      <c r="J140" s="116" t="str">
        <f t="shared" si="6"/>
        <v/>
      </c>
      <c r="K140" s="36"/>
      <c r="L140" s="36"/>
      <c r="M140" s="36"/>
    </row>
    <row r="141" ht="15.75" customHeight="1">
      <c r="A141" s="36"/>
      <c r="B141" s="36"/>
      <c r="C141" s="36"/>
      <c r="D141" s="36"/>
      <c r="E141" s="36"/>
      <c r="F141" s="36"/>
      <c r="G141" s="36"/>
      <c r="H141" s="36"/>
      <c r="I141" s="36"/>
      <c r="J141" s="116" t="str">
        <f t="shared" si="6"/>
        <v/>
      </c>
      <c r="K141" s="36"/>
      <c r="L141" s="36"/>
      <c r="M141" s="36"/>
    </row>
    <row r="142" ht="15.75" customHeight="1">
      <c r="A142" s="36"/>
      <c r="B142" s="36"/>
      <c r="C142" s="36"/>
      <c r="D142" s="36"/>
      <c r="E142" s="36"/>
      <c r="F142" s="36"/>
      <c r="G142" s="36"/>
      <c r="H142" s="36"/>
      <c r="I142" s="36"/>
      <c r="J142" s="116" t="str">
        <f t="shared" si="6"/>
        <v/>
      </c>
      <c r="K142" s="36"/>
      <c r="L142" s="36"/>
      <c r="M142" s="36"/>
    </row>
    <row r="143" ht="15.75" customHeight="1">
      <c r="A143" s="36"/>
      <c r="B143" s="36"/>
      <c r="C143" s="36"/>
      <c r="D143" s="36"/>
      <c r="E143" s="36"/>
      <c r="F143" s="36"/>
      <c r="G143" s="36"/>
      <c r="H143" s="36"/>
      <c r="I143" s="36"/>
      <c r="J143" s="116" t="str">
        <f t="shared" si="6"/>
        <v/>
      </c>
      <c r="K143" s="36"/>
      <c r="L143" s="36"/>
      <c r="M143" s="36"/>
    </row>
    <row r="144" ht="15.75" customHeight="1">
      <c r="A144" s="36"/>
      <c r="B144" s="36"/>
      <c r="C144" s="36"/>
      <c r="D144" s="36"/>
      <c r="E144" s="36"/>
      <c r="F144" s="36"/>
      <c r="G144" s="36"/>
      <c r="H144" s="36"/>
      <c r="I144" s="36"/>
      <c r="J144" s="116" t="str">
        <f t="shared" si="6"/>
        <v/>
      </c>
      <c r="K144" s="36"/>
      <c r="L144" s="36"/>
      <c r="M144" s="36"/>
    </row>
    <row r="145" ht="15.75" customHeight="1">
      <c r="A145" s="36"/>
      <c r="B145" s="36"/>
      <c r="C145" s="36"/>
      <c r="D145" s="36"/>
      <c r="E145" s="36"/>
      <c r="F145" s="36"/>
      <c r="G145" s="36"/>
      <c r="H145" s="36"/>
      <c r="I145" s="36"/>
      <c r="J145" s="116" t="str">
        <f t="shared" si="6"/>
        <v/>
      </c>
      <c r="K145" s="36"/>
      <c r="L145" s="36"/>
      <c r="M145" s="36"/>
    </row>
    <row r="146" ht="15.75" customHeight="1">
      <c r="A146" s="36"/>
      <c r="B146" s="36"/>
      <c r="C146" s="36"/>
      <c r="D146" s="36"/>
      <c r="E146" s="36"/>
      <c r="F146" s="36"/>
      <c r="G146" s="36"/>
      <c r="H146" s="36"/>
      <c r="I146" s="36"/>
      <c r="J146" s="116" t="str">
        <f t="shared" si="6"/>
        <v/>
      </c>
      <c r="K146" s="36"/>
      <c r="L146" s="36"/>
      <c r="M146" s="36"/>
    </row>
    <row r="147" ht="15.75" customHeight="1">
      <c r="A147" s="36"/>
      <c r="B147" s="36"/>
      <c r="C147" s="36"/>
      <c r="D147" s="36"/>
      <c r="E147" s="36"/>
      <c r="F147" s="36"/>
      <c r="G147" s="36"/>
      <c r="H147" s="36"/>
      <c r="I147" s="36"/>
      <c r="J147" s="116" t="str">
        <f t="shared" si="6"/>
        <v/>
      </c>
      <c r="K147" s="36"/>
      <c r="L147" s="36"/>
      <c r="M147" s="36"/>
    </row>
    <row r="148" ht="15.75" customHeight="1">
      <c r="A148" s="36"/>
      <c r="B148" s="36"/>
      <c r="C148" s="36"/>
      <c r="D148" s="36"/>
      <c r="E148" s="36"/>
      <c r="F148" s="36"/>
      <c r="G148" s="36"/>
      <c r="H148" s="36"/>
      <c r="I148" s="36"/>
      <c r="J148" s="116" t="str">
        <f t="shared" si="6"/>
        <v/>
      </c>
      <c r="K148" s="36"/>
      <c r="L148" s="36"/>
      <c r="M148" s="36"/>
    </row>
    <row r="149" ht="15.75" customHeight="1">
      <c r="A149" s="36"/>
      <c r="B149" s="36"/>
      <c r="C149" s="36"/>
      <c r="D149" s="36"/>
      <c r="E149" s="36"/>
      <c r="F149" s="36"/>
      <c r="G149" s="36"/>
      <c r="H149" s="36"/>
      <c r="I149" s="36"/>
      <c r="J149" s="116" t="str">
        <f t="shared" si="6"/>
        <v/>
      </c>
      <c r="K149" s="36"/>
      <c r="L149" s="36"/>
      <c r="M149" s="36"/>
    </row>
    <row r="150" ht="15.75" customHeight="1">
      <c r="A150" s="36"/>
      <c r="B150" s="36"/>
      <c r="C150" s="36"/>
      <c r="D150" s="36"/>
      <c r="E150" s="36"/>
      <c r="F150" s="36"/>
      <c r="G150" s="36"/>
      <c r="H150" s="36"/>
      <c r="I150" s="36"/>
      <c r="J150" s="116" t="str">
        <f t="shared" si="6"/>
        <v/>
      </c>
      <c r="K150" s="36"/>
      <c r="L150" s="36"/>
      <c r="M150" s="36"/>
    </row>
    <row r="151" ht="15.75" customHeight="1">
      <c r="A151" s="36"/>
      <c r="B151" s="36"/>
      <c r="C151" s="36"/>
      <c r="D151" s="36"/>
      <c r="E151" s="36"/>
      <c r="F151" s="36"/>
      <c r="G151" s="36"/>
      <c r="H151" s="36"/>
      <c r="I151" s="36"/>
      <c r="J151" s="116" t="str">
        <f t="shared" si="6"/>
        <v/>
      </c>
      <c r="K151" s="36"/>
      <c r="L151" s="36"/>
      <c r="M151" s="36"/>
    </row>
    <row r="152" ht="15.75" customHeight="1">
      <c r="A152" s="36"/>
      <c r="B152" s="36"/>
      <c r="C152" s="36"/>
      <c r="D152" s="36"/>
      <c r="E152" s="36"/>
      <c r="F152" s="36"/>
      <c r="G152" s="36"/>
      <c r="H152" s="36"/>
      <c r="I152" s="36"/>
      <c r="J152" s="116" t="str">
        <f t="shared" si="6"/>
        <v/>
      </c>
      <c r="K152" s="36"/>
      <c r="L152" s="36"/>
      <c r="M152" s="36"/>
    </row>
    <row r="153" ht="15.75" customHeight="1">
      <c r="A153" s="36"/>
      <c r="B153" s="36"/>
      <c r="C153" s="36"/>
      <c r="D153" s="36"/>
      <c r="E153" s="36"/>
      <c r="F153" s="36"/>
      <c r="G153" s="36"/>
      <c r="H153" s="36"/>
      <c r="I153" s="36"/>
      <c r="J153" s="116" t="str">
        <f t="shared" si="6"/>
        <v/>
      </c>
      <c r="K153" s="36"/>
      <c r="L153" s="36"/>
      <c r="M153" s="36"/>
    </row>
    <row r="154" ht="15.75" customHeight="1">
      <c r="A154" s="36"/>
      <c r="B154" s="36"/>
      <c r="C154" s="36"/>
      <c r="D154" s="36"/>
      <c r="E154" s="36"/>
      <c r="F154" s="36"/>
      <c r="G154" s="36"/>
      <c r="H154" s="36"/>
      <c r="I154" s="36"/>
      <c r="J154" s="116" t="str">
        <f t="shared" si="6"/>
        <v/>
      </c>
      <c r="K154" s="36"/>
      <c r="L154" s="36"/>
      <c r="M154" s="36"/>
    </row>
    <row r="155" ht="15.75" customHeight="1">
      <c r="A155" s="36"/>
      <c r="B155" s="36"/>
      <c r="C155" s="36"/>
      <c r="D155" s="36"/>
      <c r="E155" s="36"/>
      <c r="F155" s="36"/>
      <c r="G155" s="36"/>
      <c r="H155" s="36"/>
      <c r="I155" s="36"/>
      <c r="J155" s="116" t="str">
        <f t="shared" si="6"/>
        <v/>
      </c>
      <c r="K155" s="36"/>
      <c r="L155" s="36"/>
      <c r="M155" s="36"/>
    </row>
    <row r="156" ht="15.75" customHeight="1">
      <c r="A156" s="36"/>
      <c r="B156" s="36"/>
      <c r="C156" s="36"/>
      <c r="D156" s="36"/>
      <c r="E156" s="36"/>
      <c r="F156" s="36"/>
      <c r="G156" s="36"/>
      <c r="H156" s="36"/>
      <c r="I156" s="36"/>
      <c r="J156" s="116" t="str">
        <f t="shared" si="6"/>
        <v/>
      </c>
      <c r="K156" s="36"/>
      <c r="L156" s="36"/>
      <c r="M156" s="36"/>
    </row>
    <row r="157" ht="15.75" customHeight="1">
      <c r="A157" s="36"/>
      <c r="B157" s="36"/>
      <c r="C157" s="36"/>
      <c r="D157" s="36"/>
      <c r="E157" s="36"/>
      <c r="F157" s="36"/>
      <c r="G157" s="36"/>
      <c r="H157" s="36"/>
      <c r="I157" s="36"/>
      <c r="J157" s="116" t="str">
        <f t="shared" si="6"/>
        <v/>
      </c>
      <c r="K157" s="36"/>
      <c r="L157" s="36"/>
      <c r="M157" s="36"/>
    </row>
    <row r="158" ht="15.75" customHeight="1">
      <c r="A158" s="36"/>
      <c r="B158" s="36"/>
      <c r="C158" s="36"/>
      <c r="D158" s="36"/>
      <c r="E158" s="36"/>
      <c r="F158" s="36"/>
      <c r="G158" s="36"/>
      <c r="H158" s="36"/>
      <c r="I158" s="36"/>
      <c r="J158" s="116" t="str">
        <f t="shared" si="6"/>
        <v/>
      </c>
      <c r="K158" s="36"/>
      <c r="L158" s="36"/>
      <c r="M158" s="36"/>
    </row>
    <row r="159" ht="15.75" customHeight="1">
      <c r="A159" s="36"/>
      <c r="B159" s="36"/>
      <c r="C159" s="36"/>
      <c r="D159" s="36"/>
      <c r="E159" s="36"/>
      <c r="F159" s="36"/>
      <c r="G159" s="36"/>
      <c r="H159" s="36"/>
      <c r="I159" s="36"/>
      <c r="J159" s="116" t="str">
        <f t="shared" si="6"/>
        <v/>
      </c>
      <c r="K159" s="36"/>
      <c r="L159" s="36"/>
      <c r="M159" s="36"/>
    </row>
    <row r="160" ht="15.75" customHeight="1">
      <c r="A160" s="36"/>
      <c r="B160" s="36"/>
      <c r="C160" s="36"/>
      <c r="D160" s="36"/>
      <c r="E160" s="36"/>
      <c r="F160" s="36"/>
      <c r="G160" s="36"/>
      <c r="H160" s="36"/>
      <c r="I160" s="36"/>
      <c r="J160" s="116" t="str">
        <f t="shared" si="6"/>
        <v/>
      </c>
      <c r="K160" s="36"/>
      <c r="L160" s="36"/>
      <c r="M160" s="36"/>
    </row>
    <row r="161" ht="15.75" customHeight="1">
      <c r="A161" s="36"/>
      <c r="B161" s="36"/>
      <c r="C161" s="36"/>
      <c r="D161" s="36"/>
      <c r="E161" s="36"/>
      <c r="F161" s="36"/>
      <c r="G161" s="36"/>
      <c r="H161" s="36"/>
      <c r="I161" s="36"/>
      <c r="J161" s="116" t="str">
        <f t="shared" si="6"/>
        <v/>
      </c>
      <c r="K161" s="36"/>
      <c r="L161" s="36"/>
      <c r="M161" s="36"/>
    </row>
    <row r="162" ht="15.75" customHeight="1">
      <c r="A162" s="36"/>
      <c r="B162" s="36"/>
      <c r="C162" s="36"/>
      <c r="D162" s="36"/>
      <c r="E162" s="36"/>
      <c r="F162" s="36"/>
      <c r="G162" s="36"/>
      <c r="H162" s="36"/>
      <c r="I162" s="36"/>
      <c r="J162" s="116" t="str">
        <f t="shared" si="6"/>
        <v/>
      </c>
      <c r="K162" s="36"/>
      <c r="L162" s="36"/>
      <c r="M162" s="36"/>
    </row>
    <row r="163" ht="15.75" customHeight="1">
      <c r="A163" s="36"/>
      <c r="B163" s="36"/>
      <c r="C163" s="36"/>
      <c r="D163" s="36"/>
      <c r="E163" s="36"/>
      <c r="F163" s="36"/>
      <c r="G163" s="36"/>
      <c r="H163" s="36"/>
      <c r="I163" s="36"/>
      <c r="J163" s="116" t="str">
        <f t="shared" si="6"/>
        <v/>
      </c>
      <c r="K163" s="36"/>
      <c r="L163" s="36"/>
      <c r="M163" s="36"/>
    </row>
    <row r="164" ht="15.75" customHeight="1">
      <c r="A164" s="36"/>
      <c r="B164" s="36"/>
      <c r="C164" s="36"/>
      <c r="D164" s="36"/>
      <c r="E164" s="36"/>
      <c r="F164" s="36"/>
      <c r="G164" s="36"/>
      <c r="H164" s="36"/>
      <c r="I164" s="36"/>
      <c r="J164" s="116" t="str">
        <f t="shared" si="6"/>
        <v/>
      </c>
      <c r="K164" s="36"/>
      <c r="L164" s="36"/>
      <c r="M164" s="36"/>
    </row>
    <row r="165" ht="15.75" customHeight="1">
      <c r="A165" s="36"/>
      <c r="B165" s="36"/>
      <c r="C165" s="36"/>
      <c r="D165" s="36"/>
      <c r="E165" s="36"/>
      <c r="F165" s="36"/>
      <c r="G165" s="36"/>
      <c r="H165" s="36"/>
      <c r="I165" s="36"/>
      <c r="J165" s="116" t="str">
        <f t="shared" si="6"/>
        <v/>
      </c>
      <c r="K165" s="36"/>
      <c r="L165" s="36"/>
      <c r="M165" s="36"/>
    </row>
    <row r="166" ht="15.75" customHeight="1">
      <c r="A166" s="36"/>
      <c r="B166" s="36"/>
      <c r="C166" s="36"/>
      <c r="D166" s="36"/>
      <c r="E166" s="36"/>
      <c r="F166" s="36"/>
      <c r="G166" s="36"/>
      <c r="H166" s="36"/>
      <c r="I166" s="36"/>
      <c r="J166" s="116" t="str">
        <f t="shared" si="6"/>
        <v/>
      </c>
      <c r="K166" s="36"/>
      <c r="L166" s="36"/>
      <c r="M166" s="36"/>
    </row>
    <row r="167" ht="15.75" customHeight="1">
      <c r="A167" s="36"/>
      <c r="B167" s="36"/>
      <c r="C167" s="36"/>
      <c r="D167" s="36"/>
      <c r="E167" s="36"/>
      <c r="F167" s="36"/>
      <c r="G167" s="36"/>
      <c r="H167" s="36"/>
      <c r="I167" s="36"/>
      <c r="J167" s="116" t="str">
        <f t="shared" si="6"/>
        <v/>
      </c>
      <c r="K167" s="36"/>
      <c r="L167" s="36"/>
      <c r="M167" s="36"/>
    </row>
    <row r="168" ht="15.75" customHeight="1">
      <c r="A168" s="36"/>
      <c r="B168" s="36"/>
      <c r="C168" s="36"/>
      <c r="D168" s="36"/>
      <c r="E168" s="36"/>
      <c r="F168" s="36"/>
      <c r="G168" s="36"/>
      <c r="H168" s="36"/>
      <c r="I168" s="36"/>
      <c r="J168" s="116" t="str">
        <f t="shared" si="6"/>
        <v/>
      </c>
      <c r="K168" s="36"/>
      <c r="L168" s="36"/>
      <c r="M168" s="36"/>
    </row>
    <row r="169" ht="15.75" customHeight="1">
      <c r="A169" s="36"/>
      <c r="B169" s="36"/>
      <c r="C169" s="36"/>
      <c r="D169" s="36"/>
      <c r="E169" s="36"/>
      <c r="F169" s="36"/>
      <c r="G169" s="36"/>
      <c r="H169" s="36"/>
      <c r="I169" s="36"/>
      <c r="J169" s="116" t="str">
        <f t="shared" si="6"/>
        <v/>
      </c>
      <c r="K169" s="36"/>
      <c r="L169" s="36"/>
      <c r="M169" s="36"/>
    </row>
    <row r="170" ht="15.75" customHeight="1">
      <c r="A170" s="36"/>
      <c r="B170" s="36"/>
      <c r="C170" s="36"/>
      <c r="D170" s="36"/>
      <c r="E170" s="36"/>
      <c r="F170" s="36"/>
      <c r="G170" s="36"/>
      <c r="H170" s="36"/>
      <c r="I170" s="36"/>
      <c r="J170" s="116" t="str">
        <f t="shared" si="6"/>
        <v/>
      </c>
      <c r="K170" s="36"/>
      <c r="L170" s="36"/>
      <c r="M170" s="36"/>
    </row>
    <row r="171" ht="15.75" customHeight="1">
      <c r="A171" s="36"/>
      <c r="B171" s="36"/>
      <c r="C171" s="36"/>
      <c r="D171" s="36"/>
      <c r="E171" s="36"/>
      <c r="F171" s="36"/>
      <c r="G171" s="36"/>
      <c r="H171" s="36"/>
      <c r="I171" s="36"/>
      <c r="J171" s="116" t="str">
        <f t="shared" si="6"/>
        <v/>
      </c>
      <c r="K171" s="36"/>
      <c r="L171" s="36"/>
      <c r="M171" s="36"/>
    </row>
    <row r="172" ht="15.75" customHeight="1">
      <c r="A172" s="36"/>
      <c r="B172" s="36"/>
      <c r="C172" s="36"/>
      <c r="D172" s="36"/>
      <c r="E172" s="36"/>
      <c r="F172" s="36"/>
      <c r="G172" s="36"/>
      <c r="H172" s="36"/>
      <c r="I172" s="36"/>
      <c r="J172" s="116" t="str">
        <f t="shared" si="6"/>
        <v/>
      </c>
      <c r="K172" s="36"/>
      <c r="L172" s="36"/>
      <c r="M172" s="36"/>
    </row>
    <row r="173" ht="15.75" customHeight="1">
      <c r="A173" s="36"/>
      <c r="B173" s="36"/>
      <c r="C173" s="36"/>
      <c r="D173" s="36"/>
      <c r="E173" s="36"/>
      <c r="F173" s="36"/>
      <c r="G173" s="36"/>
      <c r="H173" s="36"/>
      <c r="I173" s="36"/>
      <c r="J173" s="116" t="str">
        <f t="shared" si="6"/>
        <v/>
      </c>
      <c r="K173" s="36"/>
      <c r="L173" s="36"/>
      <c r="M173" s="36"/>
    </row>
    <row r="174" ht="15.75" customHeight="1">
      <c r="A174" s="36"/>
      <c r="B174" s="36"/>
      <c r="C174" s="36"/>
      <c r="D174" s="36"/>
      <c r="E174" s="36"/>
      <c r="F174" s="36"/>
      <c r="G174" s="36"/>
      <c r="H174" s="36"/>
      <c r="I174" s="36"/>
      <c r="J174" s="116" t="str">
        <f t="shared" si="6"/>
        <v/>
      </c>
      <c r="K174" s="36"/>
      <c r="L174" s="36"/>
      <c r="M174" s="36"/>
    </row>
    <row r="175" ht="15.75" customHeight="1">
      <c r="A175" s="36"/>
      <c r="B175" s="36"/>
      <c r="C175" s="36"/>
      <c r="D175" s="36"/>
      <c r="E175" s="36"/>
      <c r="F175" s="36"/>
      <c r="G175" s="36"/>
      <c r="H175" s="36"/>
      <c r="I175" s="36"/>
      <c r="J175" s="116" t="str">
        <f t="shared" si="6"/>
        <v/>
      </c>
      <c r="K175" s="36"/>
      <c r="L175" s="36"/>
      <c r="M175" s="36"/>
    </row>
    <row r="176" ht="15.75" customHeight="1">
      <c r="A176" s="36"/>
      <c r="B176" s="36"/>
      <c r="C176" s="36"/>
      <c r="D176" s="36"/>
      <c r="E176" s="36"/>
      <c r="F176" s="36"/>
      <c r="G176" s="36"/>
      <c r="H176" s="36"/>
      <c r="I176" s="36"/>
      <c r="J176" s="116" t="str">
        <f t="shared" si="6"/>
        <v/>
      </c>
      <c r="K176" s="36"/>
      <c r="L176" s="36"/>
      <c r="M176" s="36"/>
    </row>
    <row r="177" ht="15.75" customHeight="1">
      <c r="A177" s="36"/>
      <c r="B177" s="36"/>
      <c r="C177" s="36"/>
      <c r="D177" s="36"/>
      <c r="E177" s="36"/>
      <c r="F177" s="36"/>
      <c r="G177" s="36"/>
      <c r="H177" s="36"/>
      <c r="I177" s="36"/>
      <c r="J177" s="116" t="str">
        <f t="shared" si="6"/>
        <v/>
      </c>
      <c r="K177" s="36"/>
      <c r="L177" s="36"/>
      <c r="M177" s="36"/>
    </row>
    <row r="178" ht="15.75" customHeight="1">
      <c r="A178" s="36"/>
      <c r="B178" s="36"/>
      <c r="C178" s="36"/>
      <c r="D178" s="36"/>
      <c r="E178" s="36"/>
      <c r="F178" s="36"/>
      <c r="G178" s="36"/>
      <c r="H178" s="36"/>
      <c r="I178" s="36"/>
      <c r="J178" s="116" t="str">
        <f t="shared" si="6"/>
        <v/>
      </c>
      <c r="K178" s="36"/>
      <c r="L178" s="36"/>
      <c r="M178" s="36"/>
    </row>
    <row r="179" ht="15.75" customHeight="1">
      <c r="A179" s="36"/>
      <c r="B179" s="36"/>
      <c r="C179" s="36"/>
      <c r="D179" s="36"/>
      <c r="E179" s="36"/>
      <c r="F179" s="36"/>
      <c r="G179" s="36"/>
      <c r="H179" s="36"/>
      <c r="I179" s="36"/>
      <c r="J179" s="116" t="str">
        <f t="shared" si="6"/>
        <v/>
      </c>
      <c r="K179" s="36"/>
      <c r="L179" s="36"/>
      <c r="M179" s="36"/>
    </row>
    <row r="180" ht="15.75" customHeight="1">
      <c r="A180" s="36"/>
      <c r="B180" s="36"/>
      <c r="C180" s="36"/>
      <c r="D180" s="36"/>
      <c r="E180" s="36"/>
      <c r="F180" s="36"/>
      <c r="G180" s="36"/>
      <c r="H180" s="36"/>
      <c r="I180" s="36"/>
      <c r="J180" s="116" t="str">
        <f t="shared" si="6"/>
        <v/>
      </c>
      <c r="K180" s="36"/>
      <c r="L180" s="36"/>
      <c r="M180" s="36"/>
    </row>
    <row r="181" ht="15.75" customHeight="1">
      <c r="A181" s="36"/>
      <c r="B181" s="36"/>
      <c r="C181" s="36"/>
      <c r="D181" s="36"/>
      <c r="E181" s="36"/>
      <c r="F181" s="36"/>
      <c r="G181" s="36"/>
      <c r="H181" s="36"/>
      <c r="I181" s="36"/>
      <c r="J181" s="116" t="str">
        <f t="shared" si="6"/>
        <v/>
      </c>
      <c r="K181" s="36"/>
      <c r="L181" s="36"/>
      <c r="M181" s="36"/>
    </row>
    <row r="182" ht="15.75" customHeight="1">
      <c r="A182" s="36"/>
      <c r="B182" s="36"/>
      <c r="C182" s="36"/>
      <c r="D182" s="36"/>
      <c r="E182" s="36"/>
      <c r="F182" s="36"/>
      <c r="G182" s="36"/>
      <c r="H182" s="36"/>
      <c r="I182" s="36"/>
      <c r="J182" s="116" t="str">
        <f t="shared" si="6"/>
        <v/>
      </c>
      <c r="K182" s="36"/>
      <c r="L182" s="36"/>
      <c r="M182" s="36"/>
    </row>
    <row r="183" ht="15.75" customHeight="1">
      <c r="A183" s="36"/>
      <c r="B183" s="36"/>
      <c r="C183" s="36"/>
      <c r="D183" s="36"/>
      <c r="E183" s="36"/>
      <c r="F183" s="36"/>
      <c r="G183" s="36"/>
      <c r="H183" s="36"/>
      <c r="I183" s="36"/>
      <c r="J183" s="116" t="str">
        <f t="shared" si="6"/>
        <v/>
      </c>
      <c r="K183" s="36"/>
      <c r="L183" s="36"/>
      <c r="M183" s="36"/>
    </row>
    <row r="184" ht="15.75" customHeight="1">
      <c r="A184" s="36"/>
      <c r="B184" s="36"/>
      <c r="C184" s="36"/>
      <c r="D184" s="36"/>
      <c r="E184" s="36"/>
      <c r="F184" s="36"/>
      <c r="G184" s="36"/>
      <c r="H184" s="36"/>
      <c r="I184" s="36"/>
      <c r="J184" s="116" t="str">
        <f t="shared" si="6"/>
        <v/>
      </c>
      <c r="K184" s="36"/>
      <c r="L184" s="36"/>
      <c r="M184" s="36"/>
    </row>
    <row r="185" ht="15.75" customHeight="1">
      <c r="A185" s="36"/>
      <c r="B185" s="36"/>
      <c r="C185" s="36"/>
      <c r="D185" s="36"/>
      <c r="E185" s="36"/>
      <c r="F185" s="36"/>
      <c r="G185" s="36"/>
      <c r="H185" s="36"/>
      <c r="I185" s="36"/>
      <c r="J185" s="116" t="str">
        <f t="shared" si="6"/>
        <v/>
      </c>
      <c r="K185" s="36"/>
      <c r="L185" s="36"/>
      <c r="M185" s="36"/>
    </row>
    <row r="186" ht="15.75" customHeight="1">
      <c r="A186" s="36"/>
      <c r="B186" s="36"/>
      <c r="C186" s="36"/>
      <c r="D186" s="36"/>
      <c r="E186" s="36"/>
      <c r="F186" s="36"/>
      <c r="G186" s="36"/>
      <c r="H186" s="36"/>
      <c r="I186" s="36"/>
      <c r="J186" s="116" t="str">
        <f t="shared" si="6"/>
        <v/>
      </c>
      <c r="K186" s="36"/>
      <c r="L186" s="36"/>
      <c r="M186" s="36"/>
    </row>
    <row r="187" ht="15.75" customHeight="1">
      <c r="A187" s="36"/>
      <c r="B187" s="36"/>
      <c r="C187" s="36"/>
      <c r="D187" s="36"/>
      <c r="E187" s="36"/>
      <c r="F187" s="36"/>
      <c r="G187" s="36"/>
      <c r="H187" s="36"/>
      <c r="I187" s="36"/>
      <c r="J187" s="116" t="str">
        <f t="shared" si="6"/>
        <v/>
      </c>
      <c r="K187" s="36"/>
      <c r="L187" s="36"/>
      <c r="M187" s="36"/>
    </row>
    <row r="188" ht="15.75" customHeight="1">
      <c r="A188" s="36"/>
      <c r="B188" s="36"/>
      <c r="C188" s="36"/>
      <c r="D188" s="36"/>
      <c r="E188" s="36"/>
      <c r="F188" s="36"/>
      <c r="G188" s="36"/>
      <c r="H188" s="36"/>
      <c r="I188" s="36"/>
      <c r="J188" s="116" t="str">
        <f t="shared" si="6"/>
        <v/>
      </c>
      <c r="K188" s="36"/>
      <c r="L188" s="36"/>
      <c r="M188" s="36"/>
    </row>
    <row r="189" ht="15.75" customHeight="1">
      <c r="A189" s="36"/>
      <c r="B189" s="36"/>
      <c r="C189" s="36"/>
      <c r="D189" s="36"/>
      <c r="E189" s="36"/>
      <c r="F189" s="36"/>
      <c r="G189" s="36"/>
      <c r="H189" s="36"/>
      <c r="I189" s="36"/>
      <c r="J189" s="116" t="str">
        <f t="shared" si="6"/>
        <v/>
      </c>
      <c r="K189" s="36"/>
      <c r="L189" s="36"/>
      <c r="M189" s="36"/>
    </row>
    <row r="190" ht="15.75" customHeight="1">
      <c r="A190" s="36"/>
      <c r="B190" s="36"/>
      <c r="C190" s="36"/>
      <c r="D190" s="36"/>
      <c r="E190" s="36"/>
      <c r="F190" s="36"/>
      <c r="G190" s="36"/>
      <c r="H190" s="36"/>
      <c r="I190" s="36"/>
      <c r="J190" s="116" t="str">
        <f t="shared" si="6"/>
        <v/>
      </c>
      <c r="K190" s="36"/>
      <c r="L190" s="36"/>
      <c r="M190" s="36"/>
    </row>
    <row r="191" ht="15.75" customHeight="1">
      <c r="A191" s="36"/>
      <c r="B191" s="36"/>
      <c r="C191" s="36"/>
      <c r="D191" s="36"/>
      <c r="E191" s="36"/>
      <c r="F191" s="36"/>
      <c r="G191" s="36"/>
      <c r="H191" s="36"/>
      <c r="I191" s="36"/>
      <c r="J191" s="116" t="str">
        <f t="shared" si="6"/>
        <v/>
      </c>
      <c r="K191" s="36"/>
      <c r="L191" s="36"/>
      <c r="M191" s="36"/>
    </row>
    <row r="192" ht="15.75" customHeight="1">
      <c r="A192" s="36"/>
      <c r="B192" s="36"/>
      <c r="C192" s="36"/>
      <c r="D192" s="36"/>
      <c r="E192" s="36"/>
      <c r="F192" s="36"/>
      <c r="G192" s="36"/>
      <c r="H192" s="36"/>
      <c r="I192" s="36"/>
      <c r="J192" s="116" t="str">
        <f t="shared" si="6"/>
        <v/>
      </c>
      <c r="K192" s="36"/>
      <c r="L192" s="36"/>
      <c r="M192" s="36"/>
    </row>
    <row r="193" ht="15.75" customHeight="1">
      <c r="A193" s="36"/>
      <c r="B193" s="36"/>
      <c r="C193" s="36"/>
      <c r="D193" s="36"/>
      <c r="E193" s="36"/>
      <c r="F193" s="36"/>
      <c r="G193" s="36"/>
      <c r="H193" s="36"/>
      <c r="I193" s="36"/>
      <c r="J193" s="116" t="str">
        <f t="shared" si="6"/>
        <v/>
      </c>
      <c r="K193" s="36"/>
      <c r="L193" s="36"/>
      <c r="M193" s="36"/>
    </row>
    <row r="194" ht="15.75" customHeight="1">
      <c r="A194" s="36"/>
      <c r="B194" s="36"/>
      <c r="C194" s="36"/>
      <c r="D194" s="36"/>
      <c r="E194" s="36"/>
      <c r="F194" s="36"/>
      <c r="G194" s="36"/>
      <c r="H194" s="36"/>
      <c r="I194" s="36"/>
      <c r="J194" s="116" t="str">
        <f t="shared" si="6"/>
        <v/>
      </c>
      <c r="K194" s="36"/>
      <c r="L194" s="36"/>
      <c r="M194" s="36"/>
    </row>
    <row r="195" ht="15.75" customHeight="1">
      <c r="A195" s="36"/>
      <c r="B195" s="36"/>
      <c r="C195" s="36"/>
      <c r="D195" s="36"/>
      <c r="E195" s="36"/>
      <c r="F195" s="36"/>
      <c r="G195" s="36"/>
      <c r="H195" s="36"/>
      <c r="I195" s="36"/>
      <c r="J195" s="116" t="str">
        <f t="shared" si="6"/>
        <v/>
      </c>
      <c r="K195" s="36"/>
      <c r="L195" s="36"/>
      <c r="M195" s="36"/>
    </row>
    <row r="196" ht="15.75" customHeight="1">
      <c r="A196" s="36"/>
      <c r="B196" s="36"/>
      <c r="C196" s="36"/>
      <c r="D196" s="36"/>
      <c r="E196" s="36"/>
      <c r="F196" s="36"/>
      <c r="G196" s="36"/>
      <c r="H196" s="36"/>
      <c r="I196" s="36"/>
      <c r="J196" s="116" t="str">
        <f t="shared" si="6"/>
        <v/>
      </c>
      <c r="K196" s="36"/>
      <c r="L196" s="36"/>
      <c r="M196" s="36"/>
    </row>
    <row r="197" ht="15.75" customHeight="1">
      <c r="A197" s="36"/>
      <c r="B197" s="36"/>
      <c r="C197" s="36"/>
      <c r="D197" s="36"/>
      <c r="E197" s="36"/>
      <c r="F197" s="36"/>
      <c r="G197" s="36"/>
      <c r="H197" s="36"/>
      <c r="I197" s="36"/>
      <c r="J197" s="116" t="str">
        <f t="shared" si="6"/>
        <v/>
      </c>
      <c r="K197" s="36"/>
      <c r="L197" s="36"/>
      <c r="M197" s="36"/>
    </row>
    <row r="198" ht="15.75" customHeight="1">
      <c r="A198" s="36"/>
      <c r="B198" s="36"/>
      <c r="C198" s="36"/>
      <c r="D198" s="36"/>
      <c r="E198" s="36"/>
      <c r="F198" s="36"/>
      <c r="G198" s="36"/>
      <c r="H198" s="36"/>
      <c r="I198" s="36"/>
      <c r="J198" s="116" t="str">
        <f t="shared" si="6"/>
        <v/>
      </c>
      <c r="K198" s="36"/>
      <c r="L198" s="36"/>
      <c r="M198" s="36"/>
    </row>
    <row r="199" ht="15.75" customHeight="1">
      <c r="A199" s="36"/>
      <c r="B199" s="36"/>
      <c r="C199" s="36"/>
      <c r="D199" s="36"/>
      <c r="E199" s="36"/>
      <c r="F199" s="36"/>
      <c r="G199" s="36"/>
      <c r="H199" s="36"/>
      <c r="I199" s="36"/>
      <c r="J199" s="116" t="str">
        <f t="shared" si="6"/>
        <v/>
      </c>
      <c r="K199" s="36"/>
      <c r="L199" s="36"/>
      <c r="M199" s="36"/>
    </row>
    <row r="200" ht="15.75" customHeight="1">
      <c r="A200" s="36"/>
      <c r="B200" s="36"/>
      <c r="C200" s="36"/>
      <c r="D200" s="36"/>
      <c r="E200" s="36"/>
      <c r="F200" s="36"/>
      <c r="G200" s="36"/>
      <c r="H200" s="36"/>
      <c r="I200" s="36"/>
      <c r="J200" s="116" t="str">
        <f t="shared" si="6"/>
        <v/>
      </c>
      <c r="K200" s="36"/>
      <c r="L200" s="36"/>
      <c r="M200" s="36"/>
    </row>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L1"/>
    <mergeCell ref="A2:L2"/>
  </mergeCells>
  <conditionalFormatting sqref="J4:J200">
    <cfRule type="colorScale" priority="1">
      <colorScale>
        <cfvo type="formula" val="1"/>
        <cfvo type="formula" val="3"/>
        <cfvo type="formula" val="5"/>
        <color rgb="FFC0392B"/>
        <color rgb="FFF39C12"/>
        <color rgb="FF27AE60"/>
      </colorScale>
    </cfRule>
  </conditionalFormatting>
  <conditionalFormatting sqref="I4">
    <cfRule type="notContainsBlanks" dxfId="0" priority="2">
      <formula>LEN(TRIM(I4))&gt;0</formula>
    </cfRule>
  </conditionalFormatting>
  <dataValidations>
    <dataValidation type="list" allowBlank="1" showErrorMessage="1" sqref="G4:I15 K4:K15 G17:I22 K17:K22 G24:I27 K24:K27 G29:I200 K29:K200">
      <formula1>"0,1,2,3,4,5"</formula1>
    </dataValidation>
    <dataValidation type="list" allowBlank="1" sqref="E4:F15 E17:F22 E24:F27 E29:F200">
      <formula1>"Y,N,N/A"</formula1>
    </dataValidation>
    <dataValidation type="list" allowBlank="1" sqref="M4:M27 M29:M200">
      <formula1>"Yes,No"</formula1>
    </dataValidation>
  </dataValidation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4.43" defaultRowHeight="15.0"/>
  <cols>
    <col customWidth="1" min="1" max="1" width="6.0"/>
    <col customWidth="1" min="2" max="2" width="12.0"/>
    <col customWidth="1" min="3" max="3" width="20.0"/>
    <col customWidth="1" min="4" max="4" width="28.71"/>
    <col customWidth="1" min="5" max="5" width="18.0"/>
    <col customWidth="1" min="6" max="6" width="12.0"/>
    <col customWidth="1" min="7" max="7" width="10.0"/>
    <col customWidth="1" min="8" max="9" width="12.0"/>
    <col customWidth="1" min="10" max="10" width="10.0"/>
    <col customWidth="1" min="11" max="11" width="12.0"/>
    <col customWidth="1" min="12" max="13" width="14.0"/>
    <col customWidth="1" min="14" max="16" width="22.0"/>
    <col customWidth="1" min="17" max="26" width="8.71"/>
  </cols>
  <sheetData>
    <row r="1" ht="31.5" customHeight="1">
      <c r="A1" s="26" t="s">
        <v>269</v>
      </c>
      <c r="B1" s="2"/>
      <c r="C1" s="2"/>
      <c r="D1" s="2"/>
      <c r="E1" s="2"/>
      <c r="F1" s="2"/>
      <c r="G1" s="2"/>
      <c r="H1" s="2"/>
      <c r="I1" s="2"/>
      <c r="J1" s="2"/>
      <c r="K1" s="2"/>
      <c r="L1" s="2"/>
      <c r="M1" s="3"/>
    </row>
    <row r="2" ht="19.5" customHeight="1">
      <c r="A2" s="123" t="s">
        <v>270</v>
      </c>
      <c r="B2" s="2"/>
      <c r="C2" s="2"/>
      <c r="D2" s="2"/>
      <c r="E2" s="2"/>
      <c r="F2" s="2"/>
      <c r="G2" s="2"/>
      <c r="H2" s="2"/>
      <c r="I2" s="2"/>
      <c r="J2" s="2"/>
      <c r="K2" s="2"/>
      <c r="L2" s="2"/>
      <c r="M2" s="3"/>
    </row>
    <row r="3" ht="42.0" customHeight="1">
      <c r="A3" s="29" t="s">
        <v>101</v>
      </c>
      <c r="B3" s="29" t="s">
        <v>102</v>
      </c>
      <c r="C3" s="29" t="s">
        <v>205</v>
      </c>
      <c r="D3" s="29" t="s">
        <v>271</v>
      </c>
      <c r="E3" s="29" t="s">
        <v>272</v>
      </c>
      <c r="F3" s="30" t="s">
        <v>273</v>
      </c>
      <c r="G3" s="30" t="s">
        <v>274</v>
      </c>
      <c r="H3" s="30" t="s">
        <v>275</v>
      </c>
      <c r="I3" s="30" t="s">
        <v>276</v>
      </c>
      <c r="J3" s="30" t="s">
        <v>277</v>
      </c>
      <c r="K3" s="30" t="s">
        <v>278</v>
      </c>
      <c r="L3" s="29" t="s">
        <v>279</v>
      </c>
      <c r="M3" s="29" t="s">
        <v>280</v>
      </c>
      <c r="N3" s="29" t="s">
        <v>281</v>
      </c>
      <c r="O3" s="29" t="s">
        <v>282</v>
      </c>
      <c r="P3" s="29" t="s">
        <v>283</v>
      </c>
    </row>
    <row r="4" ht="21.75" customHeight="1">
      <c r="A4" s="124" t="s">
        <v>284</v>
      </c>
      <c r="B4" s="124" t="s">
        <v>285</v>
      </c>
      <c r="C4" s="124" t="s">
        <v>286</v>
      </c>
      <c r="D4" s="124" t="s">
        <v>287</v>
      </c>
      <c r="E4" s="124" t="s">
        <v>288</v>
      </c>
      <c r="F4" s="124">
        <v>12.0</v>
      </c>
      <c r="G4" s="124">
        <v>20.0</v>
      </c>
      <c r="H4" s="125">
        <f t="shared" ref="H4:H17" si="1">IFERROR(F4/G4,"")</f>
        <v>0.6</v>
      </c>
      <c r="I4" s="124">
        <v>17.0</v>
      </c>
      <c r="J4" s="124">
        <v>20.0</v>
      </c>
      <c r="K4" s="125">
        <f t="shared" ref="K4:K200" si="2">IFERROR(I4/J4,"")</f>
        <v>0.85</v>
      </c>
      <c r="L4" s="126">
        <f t="shared" ref="L4:L200" si="3">IFERROR(K4-H4,"")</f>
        <v>0.25</v>
      </c>
      <c r="M4" s="127" t="str">
        <f t="shared" ref="M4:M200" si="4">IFERROR(IF(L4&gt;=0.1,"🟢 GREEN",IF(L4&gt;0,"🟡 AMBER","🔴 RED")),"—")</f>
        <v>🟢 GREEN</v>
      </c>
      <c r="N4" s="124" t="s">
        <v>289</v>
      </c>
      <c r="O4" s="124" t="s">
        <v>290</v>
      </c>
      <c r="P4" s="124" t="s">
        <v>291</v>
      </c>
    </row>
    <row r="5" ht="21.75" customHeight="1">
      <c r="A5" s="84" t="s">
        <v>284</v>
      </c>
      <c r="B5" s="84" t="s">
        <v>285</v>
      </c>
      <c r="C5" s="84" t="s">
        <v>292</v>
      </c>
      <c r="D5" s="84" t="s">
        <v>287</v>
      </c>
      <c r="E5" s="84" t="s">
        <v>288</v>
      </c>
      <c r="F5" s="84">
        <v>15.0</v>
      </c>
      <c r="G5" s="84">
        <v>20.0</v>
      </c>
      <c r="H5" s="125">
        <f t="shared" si="1"/>
        <v>0.75</v>
      </c>
      <c r="I5" s="84">
        <v>19.0</v>
      </c>
      <c r="J5" s="84">
        <v>20.0</v>
      </c>
      <c r="K5" s="125">
        <f t="shared" si="2"/>
        <v>0.95</v>
      </c>
      <c r="L5" s="126">
        <f t="shared" si="3"/>
        <v>0.2</v>
      </c>
      <c r="M5" s="127" t="str">
        <f t="shared" si="4"/>
        <v>🟢 GREEN</v>
      </c>
      <c r="N5" s="84" t="s">
        <v>293</v>
      </c>
      <c r="O5" s="84" t="s">
        <v>294</v>
      </c>
      <c r="P5" s="84"/>
    </row>
    <row r="6" ht="21.75" customHeight="1">
      <c r="A6" s="92" t="s">
        <v>284</v>
      </c>
      <c r="B6" s="92" t="s">
        <v>285</v>
      </c>
      <c r="C6" s="92" t="s">
        <v>295</v>
      </c>
      <c r="D6" s="92" t="s">
        <v>287</v>
      </c>
      <c r="E6" s="92" t="s">
        <v>288</v>
      </c>
      <c r="F6" s="92">
        <v>10.0</v>
      </c>
      <c r="G6" s="92">
        <v>20.0</v>
      </c>
      <c r="H6" s="128">
        <f t="shared" si="1"/>
        <v>0.5</v>
      </c>
      <c r="I6" s="92">
        <v>14.0</v>
      </c>
      <c r="J6" s="92">
        <v>20.0</v>
      </c>
      <c r="K6" s="125">
        <f t="shared" si="2"/>
        <v>0.7</v>
      </c>
      <c r="L6" s="126">
        <f t="shared" si="3"/>
        <v>0.2</v>
      </c>
      <c r="M6" s="127" t="str">
        <f t="shared" si="4"/>
        <v>🟢 GREEN</v>
      </c>
      <c r="N6" s="124" t="s">
        <v>296</v>
      </c>
      <c r="O6" s="124" t="s">
        <v>297</v>
      </c>
      <c r="P6" s="124" t="s">
        <v>298</v>
      </c>
    </row>
    <row r="7">
      <c r="A7" s="114" t="s">
        <v>299</v>
      </c>
      <c r="B7" s="129">
        <v>46090.0</v>
      </c>
      <c r="C7" s="114" t="s">
        <v>50</v>
      </c>
      <c r="D7" s="114" t="s">
        <v>300</v>
      </c>
      <c r="E7" s="114" t="s">
        <v>301</v>
      </c>
      <c r="F7" s="114" t="s">
        <v>302</v>
      </c>
      <c r="G7" s="114" t="s">
        <v>302</v>
      </c>
      <c r="H7" s="130" t="str">
        <f t="shared" si="1"/>
        <v/>
      </c>
      <c r="I7" s="114">
        <v>15.0</v>
      </c>
      <c r="J7" s="114">
        <v>20.0</v>
      </c>
      <c r="K7" s="131">
        <f t="shared" si="2"/>
        <v>0.75</v>
      </c>
      <c r="L7" s="126">
        <f t="shared" si="3"/>
        <v>0.75</v>
      </c>
      <c r="M7" s="127" t="str">
        <f t="shared" si="4"/>
        <v>🟢 GREEN</v>
      </c>
      <c r="N7" s="18" t="s">
        <v>303</v>
      </c>
    </row>
    <row r="8">
      <c r="A8" s="114" t="s">
        <v>299</v>
      </c>
      <c r="B8" s="129">
        <v>46090.0</v>
      </c>
      <c r="C8" s="114" t="s">
        <v>96</v>
      </c>
      <c r="D8" s="114" t="s">
        <v>300</v>
      </c>
      <c r="E8" s="114" t="s">
        <v>301</v>
      </c>
      <c r="F8" s="114" t="s">
        <v>302</v>
      </c>
      <c r="G8" s="114" t="s">
        <v>302</v>
      </c>
      <c r="H8" s="130" t="str">
        <f t="shared" si="1"/>
        <v/>
      </c>
      <c r="I8" s="114">
        <v>18.0</v>
      </c>
      <c r="J8" s="114">
        <v>20.0</v>
      </c>
      <c r="K8" s="131">
        <f t="shared" si="2"/>
        <v>0.9</v>
      </c>
      <c r="L8" s="126">
        <f t="shared" si="3"/>
        <v>0.9</v>
      </c>
      <c r="M8" s="127" t="str">
        <f t="shared" si="4"/>
        <v>🟢 GREEN</v>
      </c>
      <c r="N8" s="18" t="s">
        <v>304</v>
      </c>
    </row>
    <row r="9">
      <c r="A9" s="114" t="s">
        <v>299</v>
      </c>
      <c r="B9" s="129">
        <v>46090.0</v>
      </c>
      <c r="C9" s="114" t="s">
        <v>61</v>
      </c>
      <c r="D9" s="114" t="s">
        <v>300</v>
      </c>
      <c r="E9" s="114" t="s">
        <v>301</v>
      </c>
      <c r="F9" s="114" t="s">
        <v>302</v>
      </c>
      <c r="G9" s="114" t="s">
        <v>302</v>
      </c>
      <c r="H9" s="130" t="str">
        <f t="shared" si="1"/>
        <v/>
      </c>
      <c r="I9" s="114">
        <v>11.0</v>
      </c>
      <c r="J9" s="114">
        <v>20.0</v>
      </c>
      <c r="K9" s="132">
        <f t="shared" si="2"/>
        <v>0.55</v>
      </c>
      <c r="L9" s="126">
        <f t="shared" si="3"/>
        <v>0.55</v>
      </c>
      <c r="M9" s="127" t="str">
        <f t="shared" si="4"/>
        <v>🟢 GREEN</v>
      </c>
      <c r="N9" s="18" t="s">
        <v>305</v>
      </c>
    </row>
    <row r="10">
      <c r="A10" s="114" t="s">
        <v>151</v>
      </c>
      <c r="B10" s="115">
        <v>46093.0</v>
      </c>
      <c r="C10" s="114" t="s">
        <v>63</v>
      </c>
      <c r="D10" s="114" t="s">
        <v>300</v>
      </c>
      <c r="E10" s="114" t="s">
        <v>301</v>
      </c>
      <c r="F10" s="114" t="s">
        <v>302</v>
      </c>
      <c r="G10" s="114" t="s">
        <v>302</v>
      </c>
      <c r="H10" s="130" t="str">
        <f t="shared" si="1"/>
        <v/>
      </c>
      <c r="I10" s="114">
        <v>16.0</v>
      </c>
      <c r="J10" s="114">
        <v>20.0</v>
      </c>
      <c r="K10" s="130">
        <f t="shared" si="2"/>
        <v>0.8</v>
      </c>
      <c r="L10" s="133">
        <f t="shared" si="3"/>
        <v>0.8</v>
      </c>
      <c r="M10" s="127" t="str">
        <f t="shared" si="4"/>
        <v>🟢 GREEN</v>
      </c>
      <c r="N10" s="134" t="s">
        <v>306</v>
      </c>
    </row>
    <row r="11">
      <c r="A11" s="114" t="s">
        <v>151</v>
      </c>
      <c r="B11" s="115">
        <v>46093.0</v>
      </c>
      <c r="C11" s="114" t="s">
        <v>58</v>
      </c>
      <c r="D11" s="114" t="s">
        <v>300</v>
      </c>
      <c r="E11" s="114" t="s">
        <v>301</v>
      </c>
      <c r="F11" s="114" t="s">
        <v>302</v>
      </c>
      <c r="G11" s="114" t="s">
        <v>302</v>
      </c>
      <c r="H11" s="130" t="str">
        <f t="shared" si="1"/>
        <v/>
      </c>
      <c r="I11" s="114">
        <v>14.0</v>
      </c>
      <c r="J11" s="114">
        <v>20.0</v>
      </c>
      <c r="K11" s="130">
        <f t="shared" si="2"/>
        <v>0.7</v>
      </c>
      <c r="L11" s="133">
        <f t="shared" si="3"/>
        <v>0.7</v>
      </c>
      <c r="M11" s="127" t="str">
        <f t="shared" si="4"/>
        <v>🟢 GREEN</v>
      </c>
      <c r="N11" s="134" t="s">
        <v>307</v>
      </c>
    </row>
    <row r="12">
      <c r="A12" s="114" t="s">
        <v>151</v>
      </c>
      <c r="B12" s="115">
        <v>46093.0</v>
      </c>
      <c r="C12" s="114" t="s">
        <v>39</v>
      </c>
      <c r="D12" s="114" t="s">
        <v>300</v>
      </c>
      <c r="E12" s="114" t="s">
        <v>301</v>
      </c>
      <c r="F12" s="114" t="s">
        <v>302</v>
      </c>
      <c r="G12" s="114" t="s">
        <v>302</v>
      </c>
      <c r="H12" s="130" t="str">
        <f t="shared" si="1"/>
        <v/>
      </c>
      <c r="I12" s="114">
        <v>12.0</v>
      </c>
      <c r="J12" s="114">
        <v>20.0</v>
      </c>
      <c r="K12" s="130">
        <f t="shared" si="2"/>
        <v>0.6</v>
      </c>
      <c r="L12" s="133">
        <f t="shared" si="3"/>
        <v>0.6</v>
      </c>
      <c r="M12" s="127" t="str">
        <f t="shared" si="4"/>
        <v>🟢 GREEN</v>
      </c>
      <c r="N12" s="134" t="s">
        <v>308</v>
      </c>
    </row>
    <row r="13">
      <c r="A13" s="114" t="s">
        <v>151</v>
      </c>
      <c r="B13" s="115">
        <v>46093.0</v>
      </c>
      <c r="C13" s="114" t="s">
        <v>83</v>
      </c>
      <c r="D13" s="114" t="s">
        <v>300</v>
      </c>
      <c r="E13" s="114" t="s">
        <v>301</v>
      </c>
      <c r="F13" s="114" t="s">
        <v>302</v>
      </c>
      <c r="G13" s="114" t="s">
        <v>302</v>
      </c>
      <c r="H13" s="130" t="str">
        <f t="shared" si="1"/>
        <v/>
      </c>
      <c r="I13" s="114">
        <v>5.0</v>
      </c>
      <c r="J13" s="114">
        <v>20.0</v>
      </c>
      <c r="K13" s="130">
        <f t="shared" si="2"/>
        <v>0.25</v>
      </c>
      <c r="L13" s="133">
        <f t="shared" si="3"/>
        <v>0.25</v>
      </c>
      <c r="M13" s="127" t="str">
        <f t="shared" si="4"/>
        <v>🟢 GREEN</v>
      </c>
      <c r="N13" s="134" t="s">
        <v>309</v>
      </c>
    </row>
    <row r="14">
      <c r="A14" s="114" t="s">
        <v>151</v>
      </c>
      <c r="B14" s="115">
        <v>46093.0</v>
      </c>
      <c r="C14" s="114" t="s">
        <v>217</v>
      </c>
      <c r="D14" s="114" t="s">
        <v>300</v>
      </c>
      <c r="E14" s="114" t="s">
        <v>301</v>
      </c>
      <c r="F14" s="114" t="s">
        <v>302</v>
      </c>
      <c r="G14" s="114" t="s">
        <v>302</v>
      </c>
      <c r="H14" s="130" t="str">
        <f t="shared" si="1"/>
        <v/>
      </c>
      <c r="I14" s="114">
        <v>11.0</v>
      </c>
      <c r="J14" s="114">
        <v>20.0</v>
      </c>
      <c r="K14" s="130">
        <f t="shared" si="2"/>
        <v>0.55</v>
      </c>
      <c r="L14" s="133">
        <f t="shared" si="3"/>
        <v>0.55</v>
      </c>
      <c r="M14" s="127" t="str">
        <f t="shared" si="4"/>
        <v>🟢 GREEN</v>
      </c>
      <c r="N14" s="134" t="s">
        <v>310</v>
      </c>
    </row>
    <row r="15">
      <c r="A15" s="114" t="s">
        <v>151</v>
      </c>
      <c r="B15" s="115">
        <v>46093.0</v>
      </c>
      <c r="C15" s="114" t="s">
        <v>48</v>
      </c>
      <c r="D15" s="114" t="s">
        <v>300</v>
      </c>
      <c r="E15" s="114" t="s">
        <v>301</v>
      </c>
      <c r="F15" s="114" t="s">
        <v>302</v>
      </c>
      <c r="G15" s="114" t="s">
        <v>302</v>
      </c>
      <c r="H15" s="130" t="str">
        <f t="shared" si="1"/>
        <v/>
      </c>
      <c r="I15" s="114">
        <v>8.0</v>
      </c>
      <c r="J15" s="114">
        <v>20.0</v>
      </c>
      <c r="K15" s="130">
        <f t="shared" si="2"/>
        <v>0.4</v>
      </c>
      <c r="L15" s="133">
        <f t="shared" si="3"/>
        <v>0.4</v>
      </c>
      <c r="M15" s="127" t="str">
        <f t="shared" si="4"/>
        <v>🟢 GREEN</v>
      </c>
      <c r="N15" s="135" t="s">
        <v>311</v>
      </c>
    </row>
    <row r="16">
      <c r="A16" s="114" t="s">
        <v>156</v>
      </c>
      <c r="B16" s="115">
        <v>46094.0</v>
      </c>
      <c r="C16" s="114" t="s">
        <v>63</v>
      </c>
      <c r="D16" s="114" t="s">
        <v>312</v>
      </c>
      <c r="E16" s="114" t="s">
        <v>301</v>
      </c>
      <c r="F16" s="114" t="s">
        <v>302</v>
      </c>
      <c r="G16" s="114" t="s">
        <v>302</v>
      </c>
      <c r="H16" s="130" t="str">
        <f t="shared" si="1"/>
        <v/>
      </c>
      <c r="I16" s="114">
        <v>13.0</v>
      </c>
      <c r="J16" s="114">
        <v>20.0</v>
      </c>
      <c r="K16" s="130">
        <f t="shared" si="2"/>
        <v>0.65</v>
      </c>
      <c r="L16" s="133">
        <f t="shared" si="3"/>
        <v>0.65</v>
      </c>
      <c r="M16" s="127" t="str">
        <f t="shared" si="4"/>
        <v>🟢 GREEN</v>
      </c>
      <c r="N16" s="136" t="s">
        <v>313</v>
      </c>
    </row>
    <row r="17">
      <c r="A17" s="114" t="s">
        <v>156</v>
      </c>
      <c r="B17" s="115">
        <v>46094.0</v>
      </c>
      <c r="C17" s="114" t="s">
        <v>58</v>
      </c>
      <c r="D17" s="114" t="s">
        <v>312</v>
      </c>
      <c r="E17" s="114" t="s">
        <v>301</v>
      </c>
      <c r="F17" s="114" t="s">
        <v>302</v>
      </c>
      <c r="G17" s="114" t="s">
        <v>302</v>
      </c>
      <c r="H17" s="130" t="str">
        <f t="shared" si="1"/>
        <v/>
      </c>
      <c r="I17" s="114">
        <v>14.0</v>
      </c>
      <c r="J17" s="114">
        <v>20.0</v>
      </c>
      <c r="K17" s="130">
        <f t="shared" si="2"/>
        <v>0.7</v>
      </c>
      <c r="L17" s="133">
        <f t="shared" si="3"/>
        <v>0.7</v>
      </c>
      <c r="M17" s="127" t="str">
        <f t="shared" si="4"/>
        <v>🟢 GREEN</v>
      </c>
      <c r="N17" s="135" t="s">
        <v>314</v>
      </c>
    </row>
    <row r="18">
      <c r="A18" s="114" t="s">
        <v>156</v>
      </c>
      <c r="B18" s="115">
        <v>46094.0</v>
      </c>
      <c r="C18" s="114" t="s">
        <v>39</v>
      </c>
      <c r="D18" s="114" t="s">
        <v>312</v>
      </c>
      <c r="E18" s="114" t="s">
        <v>301</v>
      </c>
      <c r="F18" s="114" t="s">
        <v>302</v>
      </c>
      <c r="G18" s="114" t="s">
        <v>302</v>
      </c>
      <c r="H18" s="130"/>
      <c r="I18" s="36"/>
      <c r="J18" s="114">
        <v>20.0</v>
      </c>
      <c r="K18" s="130">
        <f t="shared" si="2"/>
        <v>0</v>
      </c>
      <c r="L18" s="133">
        <f t="shared" si="3"/>
        <v>0</v>
      </c>
      <c r="M18" s="127" t="str">
        <f t="shared" si="4"/>
        <v>🔴 RED</v>
      </c>
      <c r="N18" s="137"/>
    </row>
    <row r="19">
      <c r="A19" s="114" t="s">
        <v>156</v>
      </c>
      <c r="B19" s="115">
        <v>46094.0</v>
      </c>
      <c r="C19" s="114" t="s">
        <v>83</v>
      </c>
      <c r="D19" s="114" t="s">
        <v>312</v>
      </c>
      <c r="E19" s="114" t="s">
        <v>301</v>
      </c>
      <c r="F19" s="114" t="s">
        <v>302</v>
      </c>
      <c r="G19" s="114" t="s">
        <v>302</v>
      </c>
      <c r="H19" s="130" t="str">
        <f t="shared" ref="H19:H200" si="5">IFERROR(F19/G19,"")</f>
        <v/>
      </c>
      <c r="I19" s="114">
        <v>8.0</v>
      </c>
      <c r="J19" s="114">
        <v>20.0</v>
      </c>
      <c r="K19" s="130">
        <f t="shared" si="2"/>
        <v>0.4</v>
      </c>
      <c r="L19" s="133">
        <f t="shared" si="3"/>
        <v>0.4</v>
      </c>
      <c r="M19" s="127" t="str">
        <f t="shared" si="4"/>
        <v>🟢 GREEN</v>
      </c>
      <c r="N19" s="135" t="s">
        <v>315</v>
      </c>
    </row>
    <row r="20">
      <c r="A20" s="114" t="s">
        <v>156</v>
      </c>
      <c r="B20" s="115">
        <v>46094.0</v>
      </c>
      <c r="C20" s="114" t="s">
        <v>217</v>
      </c>
      <c r="D20" s="114" t="s">
        <v>312</v>
      </c>
      <c r="E20" s="114" t="s">
        <v>301</v>
      </c>
      <c r="F20" s="114" t="s">
        <v>302</v>
      </c>
      <c r="G20" s="114" t="s">
        <v>302</v>
      </c>
      <c r="H20" s="130" t="str">
        <f t="shared" si="5"/>
        <v/>
      </c>
      <c r="I20" s="36"/>
      <c r="J20" s="114">
        <v>20.0</v>
      </c>
      <c r="K20" s="130">
        <f t="shared" si="2"/>
        <v>0</v>
      </c>
      <c r="L20" s="133">
        <f t="shared" si="3"/>
        <v>0</v>
      </c>
      <c r="M20" s="127" t="str">
        <f t="shared" si="4"/>
        <v>🔴 RED</v>
      </c>
    </row>
    <row r="21" ht="15.75" customHeight="1">
      <c r="A21" s="114" t="s">
        <v>156</v>
      </c>
      <c r="B21" s="115">
        <v>46094.0</v>
      </c>
      <c r="C21" s="114" t="s">
        <v>65</v>
      </c>
      <c r="D21" s="114" t="s">
        <v>312</v>
      </c>
      <c r="E21" s="114" t="s">
        <v>301</v>
      </c>
      <c r="F21" s="114" t="s">
        <v>302</v>
      </c>
      <c r="G21" s="114" t="s">
        <v>302</v>
      </c>
      <c r="H21" s="130" t="str">
        <f t="shared" si="5"/>
        <v/>
      </c>
      <c r="I21" s="36"/>
      <c r="J21" s="114">
        <v>20.0</v>
      </c>
      <c r="K21" s="130">
        <f t="shared" si="2"/>
        <v>0</v>
      </c>
      <c r="L21" s="133">
        <f t="shared" si="3"/>
        <v>0</v>
      </c>
      <c r="M21" s="127" t="str">
        <f t="shared" si="4"/>
        <v>🔴 RED</v>
      </c>
    </row>
    <row r="22" ht="15.75" customHeight="1">
      <c r="A22" s="114" t="s">
        <v>156</v>
      </c>
      <c r="B22" s="115">
        <v>46094.0</v>
      </c>
      <c r="C22" s="114" t="s">
        <v>234</v>
      </c>
      <c r="D22" s="114" t="s">
        <v>312</v>
      </c>
      <c r="E22" s="114" t="s">
        <v>301</v>
      </c>
      <c r="F22" s="114" t="s">
        <v>302</v>
      </c>
      <c r="G22" s="114" t="s">
        <v>302</v>
      </c>
      <c r="H22" s="130" t="str">
        <f t="shared" si="5"/>
        <v/>
      </c>
      <c r="I22" s="36"/>
      <c r="J22" s="114">
        <v>20.0</v>
      </c>
      <c r="K22" s="130">
        <f t="shared" si="2"/>
        <v>0</v>
      </c>
      <c r="L22" s="133">
        <f t="shared" si="3"/>
        <v>0</v>
      </c>
      <c r="M22" s="127" t="str">
        <f t="shared" si="4"/>
        <v>🔴 RED</v>
      </c>
    </row>
    <row r="23" ht="15.75" customHeight="1">
      <c r="A23" s="36"/>
      <c r="B23" s="36"/>
      <c r="C23" s="36"/>
      <c r="D23" s="36"/>
      <c r="E23" s="36"/>
      <c r="F23" s="36"/>
      <c r="G23" s="36"/>
      <c r="H23" s="130" t="str">
        <f t="shared" si="5"/>
        <v/>
      </c>
      <c r="I23" s="36"/>
      <c r="J23" s="36"/>
      <c r="K23" s="130" t="str">
        <f t="shared" si="2"/>
        <v/>
      </c>
      <c r="L23" s="133">
        <f t="shared" si="3"/>
        <v>0</v>
      </c>
      <c r="M23" s="127" t="str">
        <f t="shared" si="4"/>
        <v>🔴 RED</v>
      </c>
    </row>
    <row r="24" ht="15.75" customHeight="1">
      <c r="A24" s="114" t="s">
        <v>160</v>
      </c>
      <c r="B24" s="117">
        <v>46096.0</v>
      </c>
      <c r="C24" s="114" t="s">
        <v>217</v>
      </c>
      <c r="D24" s="114" t="s">
        <v>172</v>
      </c>
      <c r="E24" s="114" t="s">
        <v>301</v>
      </c>
      <c r="F24" s="36"/>
      <c r="G24" s="36"/>
      <c r="H24" s="130" t="str">
        <f t="shared" si="5"/>
        <v/>
      </c>
      <c r="I24" s="114">
        <v>13.0</v>
      </c>
      <c r="J24" s="114">
        <v>20.0</v>
      </c>
      <c r="K24" s="130">
        <f t="shared" si="2"/>
        <v>0.65</v>
      </c>
      <c r="L24" s="133">
        <f t="shared" si="3"/>
        <v>0.65</v>
      </c>
      <c r="M24" s="127" t="str">
        <f t="shared" si="4"/>
        <v>🟢 GREEN</v>
      </c>
      <c r="N24" s="18" t="s">
        <v>316</v>
      </c>
    </row>
    <row r="25" ht="15.75" customHeight="1">
      <c r="A25" s="114" t="s">
        <v>160</v>
      </c>
      <c r="B25" s="117">
        <v>46096.0</v>
      </c>
      <c r="C25" s="114" t="s">
        <v>220</v>
      </c>
      <c r="D25" s="114" t="s">
        <v>172</v>
      </c>
      <c r="E25" s="114" t="s">
        <v>301</v>
      </c>
      <c r="F25" s="36"/>
      <c r="G25" s="36"/>
      <c r="H25" s="130" t="str">
        <f t="shared" si="5"/>
        <v/>
      </c>
      <c r="I25" s="114">
        <v>17.0</v>
      </c>
      <c r="J25" s="114">
        <v>20.0</v>
      </c>
      <c r="K25" s="130">
        <f t="shared" si="2"/>
        <v>0.85</v>
      </c>
      <c r="L25" s="133">
        <f t="shared" si="3"/>
        <v>0.85</v>
      </c>
      <c r="M25" s="127" t="str">
        <f t="shared" si="4"/>
        <v>🟢 GREEN</v>
      </c>
      <c r="N25" s="18" t="s">
        <v>317</v>
      </c>
    </row>
    <row r="26" ht="15.75" customHeight="1">
      <c r="A26" s="114" t="s">
        <v>160</v>
      </c>
      <c r="B26" s="117">
        <v>46096.0</v>
      </c>
      <c r="C26" s="114" t="s">
        <v>249</v>
      </c>
      <c r="D26" s="114" t="s">
        <v>172</v>
      </c>
      <c r="E26" s="114" t="s">
        <v>301</v>
      </c>
      <c r="F26" s="36"/>
      <c r="G26" s="36"/>
      <c r="H26" s="130" t="str">
        <f t="shared" si="5"/>
        <v/>
      </c>
      <c r="I26" s="36"/>
      <c r="J26" s="114">
        <v>20.0</v>
      </c>
      <c r="K26" s="130">
        <f t="shared" si="2"/>
        <v>0</v>
      </c>
      <c r="L26" s="133">
        <f t="shared" si="3"/>
        <v>0</v>
      </c>
      <c r="M26" s="127" t="str">
        <f t="shared" si="4"/>
        <v>🔴 RED</v>
      </c>
    </row>
    <row r="27" ht="15.75" customHeight="1">
      <c r="A27" s="114" t="s">
        <v>160</v>
      </c>
      <c r="B27" s="117">
        <v>46096.0</v>
      </c>
      <c r="C27" s="114" t="s">
        <v>48</v>
      </c>
      <c r="D27" s="114" t="s">
        <v>172</v>
      </c>
      <c r="E27" s="114" t="s">
        <v>301</v>
      </c>
      <c r="F27" s="36"/>
      <c r="G27" s="36"/>
      <c r="H27" s="130" t="str">
        <f t="shared" si="5"/>
        <v/>
      </c>
      <c r="I27" s="114">
        <v>17.0</v>
      </c>
      <c r="J27" s="114">
        <v>20.0</v>
      </c>
      <c r="K27" s="130">
        <f t="shared" si="2"/>
        <v>0.85</v>
      </c>
      <c r="L27" s="133">
        <f t="shared" si="3"/>
        <v>0.85</v>
      </c>
      <c r="M27" s="127" t="str">
        <f t="shared" si="4"/>
        <v>🟢 GREEN</v>
      </c>
      <c r="N27" s="18" t="s">
        <v>318</v>
      </c>
    </row>
    <row r="28" ht="15.75" customHeight="1">
      <c r="A28" s="18" t="s">
        <v>160</v>
      </c>
      <c r="B28" s="138">
        <v>46096.0</v>
      </c>
      <c r="C28" s="114" t="s">
        <v>58</v>
      </c>
      <c r="D28" s="114" t="s">
        <v>172</v>
      </c>
      <c r="E28" s="114" t="s">
        <v>301</v>
      </c>
      <c r="H28" s="139" t="str">
        <f t="shared" si="5"/>
        <v/>
      </c>
      <c r="I28" s="18">
        <v>15.0</v>
      </c>
      <c r="J28" s="114">
        <v>20.0</v>
      </c>
      <c r="K28" s="139">
        <f t="shared" si="2"/>
        <v>0.75</v>
      </c>
      <c r="L28" s="126">
        <f t="shared" si="3"/>
        <v>0.75</v>
      </c>
      <c r="M28" s="127" t="str">
        <f t="shared" si="4"/>
        <v>🟢 GREEN</v>
      </c>
      <c r="N28" s="18" t="s">
        <v>319</v>
      </c>
    </row>
    <row r="29" ht="15.75" customHeight="1">
      <c r="A29" s="18" t="s">
        <v>160</v>
      </c>
      <c r="B29" s="138">
        <v>46096.0</v>
      </c>
      <c r="C29" s="114" t="s">
        <v>39</v>
      </c>
      <c r="D29" s="114" t="s">
        <v>172</v>
      </c>
      <c r="E29" s="114" t="s">
        <v>301</v>
      </c>
      <c r="H29" s="125" t="str">
        <f t="shared" si="5"/>
        <v/>
      </c>
      <c r="I29" s="18">
        <v>15.0</v>
      </c>
      <c r="J29" s="114">
        <v>20.0</v>
      </c>
      <c r="K29" s="125">
        <f t="shared" si="2"/>
        <v>0.75</v>
      </c>
      <c r="L29" s="126">
        <f t="shared" si="3"/>
        <v>0.75</v>
      </c>
      <c r="M29" s="127" t="str">
        <f t="shared" si="4"/>
        <v>🟢 GREEN</v>
      </c>
      <c r="N29" s="18" t="s">
        <v>320</v>
      </c>
    </row>
    <row r="30" ht="15.75" customHeight="1">
      <c r="A30" s="18" t="s">
        <v>160</v>
      </c>
      <c r="B30" s="138">
        <v>46096.0</v>
      </c>
      <c r="C30" s="114" t="s">
        <v>222</v>
      </c>
      <c r="D30" s="114" t="s">
        <v>172</v>
      </c>
      <c r="E30" s="114" t="s">
        <v>301</v>
      </c>
      <c r="H30" s="125" t="str">
        <f t="shared" si="5"/>
        <v/>
      </c>
      <c r="J30" s="114">
        <v>20.0</v>
      </c>
      <c r="K30" s="125">
        <f t="shared" si="2"/>
        <v>0</v>
      </c>
      <c r="L30" s="126">
        <f t="shared" si="3"/>
        <v>0</v>
      </c>
      <c r="M30" s="127" t="str">
        <f t="shared" si="4"/>
        <v>🔴 RED</v>
      </c>
    </row>
    <row r="31" ht="15.75" customHeight="1">
      <c r="H31" s="125" t="str">
        <f t="shared" si="5"/>
        <v/>
      </c>
      <c r="K31" s="125" t="str">
        <f t="shared" si="2"/>
        <v/>
      </c>
      <c r="L31" s="126">
        <f t="shared" si="3"/>
        <v>0</v>
      </c>
      <c r="M31" s="127" t="str">
        <f t="shared" si="4"/>
        <v>🔴 RED</v>
      </c>
    </row>
    <row r="32" ht="15.75" customHeight="1">
      <c r="A32" s="18" t="s">
        <v>170</v>
      </c>
      <c r="B32" s="138">
        <v>46097.0</v>
      </c>
      <c r="C32" s="18" t="s">
        <v>220</v>
      </c>
      <c r="D32" s="18" t="s">
        <v>184</v>
      </c>
      <c r="E32" s="18" t="s">
        <v>301</v>
      </c>
      <c r="F32" s="18">
        <v>17.0</v>
      </c>
      <c r="G32" s="18">
        <v>20.0</v>
      </c>
      <c r="H32" s="125">
        <f t="shared" si="5"/>
        <v>0.85</v>
      </c>
      <c r="I32" s="18">
        <v>20.0</v>
      </c>
      <c r="J32" s="18">
        <v>20.0</v>
      </c>
      <c r="K32" s="125">
        <f t="shared" si="2"/>
        <v>1</v>
      </c>
      <c r="L32" s="126">
        <f t="shared" si="3"/>
        <v>0.15</v>
      </c>
      <c r="M32" s="127" t="str">
        <f t="shared" si="4"/>
        <v>🟢 GREEN</v>
      </c>
      <c r="N32" s="18" t="s">
        <v>321</v>
      </c>
    </row>
    <row r="33" ht="15.75" customHeight="1">
      <c r="A33" s="18" t="s">
        <v>170</v>
      </c>
      <c r="B33" s="138">
        <v>46097.0</v>
      </c>
      <c r="C33" s="18" t="s">
        <v>222</v>
      </c>
      <c r="D33" s="18" t="s">
        <v>184</v>
      </c>
      <c r="E33" s="18" t="s">
        <v>301</v>
      </c>
      <c r="H33" s="125" t="str">
        <f t="shared" si="5"/>
        <v/>
      </c>
      <c r="I33" s="18">
        <v>17.0</v>
      </c>
      <c r="J33" s="18">
        <v>20.0</v>
      </c>
      <c r="K33" s="125">
        <f t="shared" si="2"/>
        <v>0.85</v>
      </c>
      <c r="L33" s="126">
        <f t="shared" si="3"/>
        <v>0.85</v>
      </c>
      <c r="M33" s="127" t="str">
        <f t="shared" si="4"/>
        <v>🟢 GREEN</v>
      </c>
      <c r="N33" s="18" t="s">
        <v>322</v>
      </c>
    </row>
    <row r="34" ht="15.75" customHeight="1">
      <c r="H34" s="125" t="str">
        <f t="shared" si="5"/>
        <v/>
      </c>
      <c r="K34" s="125" t="str">
        <f t="shared" si="2"/>
        <v/>
      </c>
      <c r="L34" s="126">
        <f t="shared" si="3"/>
        <v>0</v>
      </c>
      <c r="M34" s="127" t="str">
        <f t="shared" si="4"/>
        <v>🔴 RED</v>
      </c>
    </row>
    <row r="35" ht="15.75" customHeight="1">
      <c r="A35" s="18" t="s">
        <v>176</v>
      </c>
      <c r="B35" s="138">
        <v>46099.0</v>
      </c>
      <c r="C35" s="18" t="s">
        <v>323</v>
      </c>
      <c r="D35" s="18" t="s">
        <v>178</v>
      </c>
      <c r="E35" s="18" t="s">
        <v>301</v>
      </c>
      <c r="F35" s="18">
        <v>20.0</v>
      </c>
      <c r="G35" s="18">
        <v>20.0</v>
      </c>
      <c r="H35" s="125">
        <f t="shared" si="5"/>
        <v>1</v>
      </c>
      <c r="I35" s="18">
        <v>20.0</v>
      </c>
      <c r="J35" s="18">
        <v>20.0</v>
      </c>
      <c r="K35" s="125">
        <f t="shared" si="2"/>
        <v>1</v>
      </c>
      <c r="L35" s="126">
        <f t="shared" si="3"/>
        <v>0</v>
      </c>
      <c r="M35" s="127" t="str">
        <f t="shared" si="4"/>
        <v>🔴 RED</v>
      </c>
    </row>
    <row r="36" ht="15.75" customHeight="1">
      <c r="A36" s="18" t="s">
        <v>176</v>
      </c>
      <c r="B36" s="138">
        <v>46099.0</v>
      </c>
      <c r="C36" s="18" t="s">
        <v>324</v>
      </c>
      <c r="D36" s="18" t="s">
        <v>178</v>
      </c>
      <c r="E36" s="18" t="s">
        <v>301</v>
      </c>
      <c r="F36" s="18">
        <v>17.0</v>
      </c>
      <c r="G36" s="18">
        <v>20.0</v>
      </c>
      <c r="H36" s="125">
        <f t="shared" si="5"/>
        <v>0.85</v>
      </c>
      <c r="I36" s="18"/>
      <c r="J36" s="18">
        <v>20.0</v>
      </c>
      <c r="K36" s="125">
        <f t="shared" si="2"/>
        <v>0</v>
      </c>
      <c r="L36" s="126">
        <f t="shared" si="3"/>
        <v>-0.85</v>
      </c>
      <c r="M36" s="127" t="str">
        <f t="shared" si="4"/>
        <v>🔴 RED</v>
      </c>
    </row>
    <row r="37" ht="15.75" customHeight="1">
      <c r="H37" s="125" t="str">
        <f t="shared" si="5"/>
        <v/>
      </c>
      <c r="I37" s="18">
        <v>18.0</v>
      </c>
      <c r="K37" s="125" t="str">
        <f t="shared" si="2"/>
        <v/>
      </c>
      <c r="L37" s="126">
        <f t="shared" si="3"/>
        <v>0</v>
      </c>
      <c r="M37" s="127" t="str">
        <f t="shared" si="4"/>
        <v>🔴 RED</v>
      </c>
    </row>
    <row r="38" ht="15.75" customHeight="1">
      <c r="H38" s="125" t="str">
        <f t="shared" si="5"/>
        <v/>
      </c>
      <c r="I38" s="18">
        <v>18.0</v>
      </c>
      <c r="K38" s="125" t="str">
        <f t="shared" si="2"/>
        <v/>
      </c>
      <c r="L38" s="126">
        <f t="shared" si="3"/>
        <v>0</v>
      </c>
      <c r="M38" s="127" t="str">
        <f t="shared" si="4"/>
        <v>🔴 RED</v>
      </c>
    </row>
    <row r="39" ht="15.75" customHeight="1">
      <c r="H39" s="125" t="str">
        <f t="shared" si="5"/>
        <v/>
      </c>
      <c r="I39" s="18">
        <v>18.0</v>
      </c>
      <c r="K39" s="125" t="str">
        <f t="shared" si="2"/>
        <v/>
      </c>
      <c r="L39" s="126">
        <f t="shared" si="3"/>
        <v>0</v>
      </c>
      <c r="M39" s="127" t="str">
        <f t="shared" si="4"/>
        <v>🔴 RED</v>
      </c>
    </row>
    <row r="40" ht="15.75" customHeight="1">
      <c r="H40" s="125" t="str">
        <f t="shared" si="5"/>
        <v/>
      </c>
      <c r="I40" s="18">
        <v>18.0</v>
      </c>
      <c r="K40" s="125" t="str">
        <f t="shared" si="2"/>
        <v/>
      </c>
      <c r="L40" s="126">
        <f t="shared" si="3"/>
        <v>0</v>
      </c>
      <c r="M40" s="127" t="str">
        <f t="shared" si="4"/>
        <v>🔴 RED</v>
      </c>
    </row>
    <row r="41" ht="15.75" customHeight="1">
      <c r="H41" s="125" t="str">
        <f t="shared" si="5"/>
        <v/>
      </c>
      <c r="I41" s="18">
        <v>18.0</v>
      </c>
      <c r="K41" s="125" t="str">
        <f t="shared" si="2"/>
        <v/>
      </c>
      <c r="L41" s="126">
        <f t="shared" si="3"/>
        <v>0</v>
      </c>
      <c r="M41" s="127" t="str">
        <f t="shared" si="4"/>
        <v>🔴 RED</v>
      </c>
    </row>
    <row r="42" ht="15.75" customHeight="1">
      <c r="H42" s="125" t="str">
        <f t="shared" si="5"/>
        <v/>
      </c>
      <c r="I42" s="18">
        <v>18.0</v>
      </c>
      <c r="K42" s="125" t="str">
        <f t="shared" si="2"/>
        <v/>
      </c>
      <c r="L42" s="126">
        <f t="shared" si="3"/>
        <v>0</v>
      </c>
      <c r="M42" s="127" t="str">
        <f t="shared" si="4"/>
        <v>🔴 RED</v>
      </c>
    </row>
    <row r="43" ht="15.75" customHeight="1">
      <c r="H43" s="125" t="str">
        <f t="shared" si="5"/>
        <v/>
      </c>
      <c r="I43" s="18">
        <v>18.0</v>
      </c>
      <c r="K43" s="125" t="str">
        <f t="shared" si="2"/>
        <v/>
      </c>
      <c r="L43" s="126">
        <f t="shared" si="3"/>
        <v>0</v>
      </c>
      <c r="M43" s="127" t="str">
        <f t="shared" si="4"/>
        <v>🔴 RED</v>
      </c>
    </row>
    <row r="44" ht="15.75" customHeight="1">
      <c r="H44" s="125" t="str">
        <f t="shared" si="5"/>
        <v/>
      </c>
      <c r="I44" s="18">
        <v>18.0</v>
      </c>
      <c r="K44" s="125" t="str">
        <f t="shared" si="2"/>
        <v/>
      </c>
      <c r="L44" s="126">
        <f t="shared" si="3"/>
        <v>0</v>
      </c>
      <c r="M44" s="127" t="str">
        <f t="shared" si="4"/>
        <v>🔴 RED</v>
      </c>
    </row>
    <row r="45" ht="15.75" customHeight="1">
      <c r="H45" s="125" t="str">
        <f t="shared" si="5"/>
        <v/>
      </c>
      <c r="I45" s="18">
        <v>18.0</v>
      </c>
      <c r="K45" s="125" t="str">
        <f t="shared" si="2"/>
        <v/>
      </c>
      <c r="L45" s="126">
        <f t="shared" si="3"/>
        <v>0</v>
      </c>
      <c r="M45" s="127" t="str">
        <f t="shared" si="4"/>
        <v>🔴 RED</v>
      </c>
    </row>
    <row r="46" ht="15.75" customHeight="1">
      <c r="H46" s="125" t="str">
        <f t="shared" si="5"/>
        <v/>
      </c>
      <c r="I46" s="18">
        <v>18.0</v>
      </c>
      <c r="K46" s="125" t="str">
        <f t="shared" si="2"/>
        <v/>
      </c>
      <c r="L46" s="126">
        <f t="shared" si="3"/>
        <v>0</v>
      </c>
      <c r="M46" s="127" t="str">
        <f t="shared" si="4"/>
        <v>🔴 RED</v>
      </c>
    </row>
    <row r="47" ht="15.75" customHeight="1">
      <c r="H47" s="125" t="str">
        <f t="shared" si="5"/>
        <v/>
      </c>
      <c r="I47" s="18">
        <v>18.0</v>
      </c>
      <c r="K47" s="125" t="str">
        <f t="shared" si="2"/>
        <v/>
      </c>
      <c r="L47" s="126">
        <f t="shared" si="3"/>
        <v>0</v>
      </c>
      <c r="M47" s="127" t="str">
        <f t="shared" si="4"/>
        <v>🔴 RED</v>
      </c>
    </row>
    <row r="48" ht="15.75" customHeight="1">
      <c r="H48" s="125" t="str">
        <f t="shared" si="5"/>
        <v/>
      </c>
      <c r="I48" s="18">
        <v>18.0</v>
      </c>
      <c r="K48" s="125" t="str">
        <f t="shared" si="2"/>
        <v/>
      </c>
      <c r="L48" s="126">
        <f t="shared" si="3"/>
        <v>0</v>
      </c>
      <c r="M48" s="127" t="str">
        <f t="shared" si="4"/>
        <v>🔴 RED</v>
      </c>
    </row>
    <row r="49" ht="15.75" customHeight="1">
      <c r="H49" s="125" t="str">
        <f t="shared" si="5"/>
        <v/>
      </c>
      <c r="I49" s="18">
        <v>18.0</v>
      </c>
      <c r="K49" s="125" t="str">
        <f t="shared" si="2"/>
        <v/>
      </c>
      <c r="L49" s="126">
        <f t="shared" si="3"/>
        <v>0</v>
      </c>
      <c r="M49" s="127" t="str">
        <f t="shared" si="4"/>
        <v>🔴 RED</v>
      </c>
    </row>
    <row r="50" ht="15.75" customHeight="1">
      <c r="H50" s="125" t="str">
        <f t="shared" si="5"/>
        <v/>
      </c>
      <c r="I50" s="18">
        <v>18.0</v>
      </c>
      <c r="K50" s="125" t="str">
        <f t="shared" si="2"/>
        <v/>
      </c>
      <c r="L50" s="126">
        <f t="shared" si="3"/>
        <v>0</v>
      </c>
      <c r="M50" s="127" t="str">
        <f t="shared" si="4"/>
        <v>🔴 RED</v>
      </c>
    </row>
    <row r="51" ht="15.75" customHeight="1">
      <c r="H51" s="125" t="str">
        <f t="shared" si="5"/>
        <v/>
      </c>
      <c r="I51" s="18">
        <v>18.0</v>
      </c>
      <c r="K51" s="125" t="str">
        <f t="shared" si="2"/>
        <v/>
      </c>
      <c r="L51" s="126">
        <f t="shared" si="3"/>
        <v>0</v>
      </c>
      <c r="M51" s="127" t="str">
        <f t="shared" si="4"/>
        <v>🔴 RED</v>
      </c>
    </row>
    <row r="52" ht="15.75" customHeight="1">
      <c r="H52" s="125" t="str">
        <f t="shared" si="5"/>
        <v/>
      </c>
      <c r="I52" s="18">
        <v>18.0</v>
      </c>
      <c r="K52" s="125" t="str">
        <f t="shared" si="2"/>
        <v/>
      </c>
      <c r="L52" s="126">
        <f t="shared" si="3"/>
        <v>0</v>
      </c>
      <c r="M52" s="127" t="str">
        <f t="shared" si="4"/>
        <v>🔴 RED</v>
      </c>
    </row>
    <row r="53" ht="15.75" customHeight="1">
      <c r="H53" s="125" t="str">
        <f t="shared" si="5"/>
        <v/>
      </c>
      <c r="I53" s="18">
        <v>18.0</v>
      </c>
      <c r="K53" s="125" t="str">
        <f t="shared" si="2"/>
        <v/>
      </c>
      <c r="L53" s="126">
        <f t="shared" si="3"/>
        <v>0</v>
      </c>
      <c r="M53" s="127" t="str">
        <f t="shared" si="4"/>
        <v>🔴 RED</v>
      </c>
    </row>
    <row r="54" ht="15.75" customHeight="1">
      <c r="H54" s="125" t="str">
        <f t="shared" si="5"/>
        <v/>
      </c>
      <c r="I54" s="18">
        <v>18.0</v>
      </c>
      <c r="K54" s="125" t="str">
        <f t="shared" si="2"/>
        <v/>
      </c>
      <c r="L54" s="126">
        <f t="shared" si="3"/>
        <v>0</v>
      </c>
      <c r="M54" s="127" t="str">
        <f t="shared" si="4"/>
        <v>🔴 RED</v>
      </c>
    </row>
    <row r="55" ht="15.75" customHeight="1">
      <c r="H55" s="125" t="str">
        <f t="shared" si="5"/>
        <v/>
      </c>
      <c r="I55" s="18">
        <v>18.0</v>
      </c>
      <c r="K55" s="125" t="str">
        <f t="shared" si="2"/>
        <v/>
      </c>
      <c r="L55" s="126">
        <f t="shared" si="3"/>
        <v>0</v>
      </c>
      <c r="M55" s="127" t="str">
        <f t="shared" si="4"/>
        <v>🔴 RED</v>
      </c>
    </row>
    <row r="56" ht="15.75" customHeight="1">
      <c r="H56" s="125" t="str">
        <f t="shared" si="5"/>
        <v/>
      </c>
      <c r="I56" s="18">
        <v>18.0</v>
      </c>
      <c r="K56" s="125" t="str">
        <f t="shared" si="2"/>
        <v/>
      </c>
      <c r="L56" s="126">
        <f t="shared" si="3"/>
        <v>0</v>
      </c>
      <c r="M56" s="127" t="str">
        <f t="shared" si="4"/>
        <v>🔴 RED</v>
      </c>
    </row>
    <row r="57" ht="15.75" customHeight="1">
      <c r="H57" s="125" t="str">
        <f t="shared" si="5"/>
        <v/>
      </c>
      <c r="I57" s="18">
        <v>18.0</v>
      </c>
      <c r="K57" s="125" t="str">
        <f t="shared" si="2"/>
        <v/>
      </c>
      <c r="L57" s="126">
        <f t="shared" si="3"/>
        <v>0</v>
      </c>
      <c r="M57" s="127" t="str">
        <f t="shared" si="4"/>
        <v>🔴 RED</v>
      </c>
    </row>
    <row r="58" ht="15.75" customHeight="1">
      <c r="H58" s="125" t="str">
        <f t="shared" si="5"/>
        <v/>
      </c>
      <c r="I58" s="18">
        <v>18.0</v>
      </c>
      <c r="K58" s="125" t="str">
        <f t="shared" si="2"/>
        <v/>
      </c>
      <c r="L58" s="126">
        <f t="shared" si="3"/>
        <v>0</v>
      </c>
      <c r="M58" s="127" t="str">
        <f t="shared" si="4"/>
        <v>🔴 RED</v>
      </c>
    </row>
    <row r="59" ht="15.75" customHeight="1">
      <c r="H59" s="125" t="str">
        <f t="shared" si="5"/>
        <v/>
      </c>
      <c r="I59" s="18">
        <v>18.0</v>
      </c>
      <c r="K59" s="125" t="str">
        <f t="shared" si="2"/>
        <v/>
      </c>
      <c r="L59" s="126">
        <f t="shared" si="3"/>
        <v>0</v>
      </c>
      <c r="M59" s="127" t="str">
        <f t="shared" si="4"/>
        <v>🔴 RED</v>
      </c>
    </row>
    <row r="60" ht="15.75" customHeight="1">
      <c r="H60" s="125" t="str">
        <f t="shared" si="5"/>
        <v/>
      </c>
      <c r="I60" s="18">
        <v>18.0</v>
      </c>
      <c r="K60" s="125" t="str">
        <f t="shared" si="2"/>
        <v/>
      </c>
      <c r="L60" s="126">
        <f t="shared" si="3"/>
        <v>0</v>
      </c>
      <c r="M60" s="127" t="str">
        <f t="shared" si="4"/>
        <v>🔴 RED</v>
      </c>
    </row>
    <row r="61" ht="15.75" customHeight="1">
      <c r="H61" s="125" t="str">
        <f t="shared" si="5"/>
        <v/>
      </c>
      <c r="I61" s="18">
        <v>18.0</v>
      </c>
      <c r="K61" s="125" t="str">
        <f t="shared" si="2"/>
        <v/>
      </c>
      <c r="L61" s="126">
        <f t="shared" si="3"/>
        <v>0</v>
      </c>
      <c r="M61" s="127" t="str">
        <f t="shared" si="4"/>
        <v>🔴 RED</v>
      </c>
    </row>
    <row r="62" ht="15.75" customHeight="1">
      <c r="H62" s="125" t="str">
        <f t="shared" si="5"/>
        <v/>
      </c>
      <c r="I62" s="18">
        <v>18.0</v>
      </c>
      <c r="K62" s="125" t="str">
        <f t="shared" si="2"/>
        <v/>
      </c>
      <c r="L62" s="126">
        <f t="shared" si="3"/>
        <v>0</v>
      </c>
      <c r="M62" s="127" t="str">
        <f t="shared" si="4"/>
        <v>🔴 RED</v>
      </c>
    </row>
    <row r="63" ht="15.75" customHeight="1">
      <c r="H63" s="125" t="str">
        <f t="shared" si="5"/>
        <v/>
      </c>
      <c r="I63" s="18">
        <v>18.0</v>
      </c>
      <c r="K63" s="125" t="str">
        <f t="shared" si="2"/>
        <v/>
      </c>
      <c r="L63" s="126">
        <f t="shared" si="3"/>
        <v>0</v>
      </c>
      <c r="M63" s="127" t="str">
        <f t="shared" si="4"/>
        <v>🔴 RED</v>
      </c>
    </row>
    <row r="64" ht="15.75" customHeight="1">
      <c r="H64" s="125" t="str">
        <f t="shared" si="5"/>
        <v/>
      </c>
      <c r="I64" s="18">
        <v>18.0</v>
      </c>
      <c r="K64" s="125" t="str">
        <f t="shared" si="2"/>
        <v/>
      </c>
      <c r="L64" s="126">
        <f t="shared" si="3"/>
        <v>0</v>
      </c>
      <c r="M64" s="127" t="str">
        <f t="shared" si="4"/>
        <v>🔴 RED</v>
      </c>
    </row>
    <row r="65" ht="15.75" customHeight="1">
      <c r="H65" s="125" t="str">
        <f t="shared" si="5"/>
        <v/>
      </c>
      <c r="I65" s="18">
        <v>18.0</v>
      </c>
      <c r="K65" s="125" t="str">
        <f t="shared" si="2"/>
        <v/>
      </c>
      <c r="L65" s="126">
        <f t="shared" si="3"/>
        <v>0</v>
      </c>
      <c r="M65" s="127" t="str">
        <f t="shared" si="4"/>
        <v>🔴 RED</v>
      </c>
    </row>
    <row r="66" ht="15.75" customHeight="1">
      <c r="H66" s="125" t="str">
        <f t="shared" si="5"/>
        <v/>
      </c>
      <c r="I66" s="18">
        <v>18.0</v>
      </c>
      <c r="K66" s="125" t="str">
        <f t="shared" si="2"/>
        <v/>
      </c>
      <c r="L66" s="126">
        <f t="shared" si="3"/>
        <v>0</v>
      </c>
      <c r="M66" s="127" t="str">
        <f t="shared" si="4"/>
        <v>🔴 RED</v>
      </c>
    </row>
    <row r="67" ht="15.75" customHeight="1">
      <c r="H67" s="125" t="str">
        <f t="shared" si="5"/>
        <v/>
      </c>
      <c r="I67" s="18">
        <v>18.0</v>
      </c>
      <c r="K67" s="125" t="str">
        <f t="shared" si="2"/>
        <v/>
      </c>
      <c r="L67" s="126">
        <f t="shared" si="3"/>
        <v>0</v>
      </c>
      <c r="M67" s="127" t="str">
        <f t="shared" si="4"/>
        <v>🔴 RED</v>
      </c>
    </row>
    <row r="68" ht="15.75" customHeight="1">
      <c r="H68" s="125" t="str">
        <f t="shared" si="5"/>
        <v/>
      </c>
      <c r="I68" s="18">
        <v>18.0</v>
      </c>
      <c r="K68" s="125" t="str">
        <f t="shared" si="2"/>
        <v/>
      </c>
      <c r="L68" s="126">
        <f t="shared" si="3"/>
        <v>0</v>
      </c>
      <c r="M68" s="127" t="str">
        <f t="shared" si="4"/>
        <v>🔴 RED</v>
      </c>
    </row>
    <row r="69" ht="15.75" customHeight="1">
      <c r="H69" s="125" t="str">
        <f t="shared" si="5"/>
        <v/>
      </c>
      <c r="I69" s="18">
        <v>18.0</v>
      </c>
      <c r="K69" s="125" t="str">
        <f t="shared" si="2"/>
        <v/>
      </c>
      <c r="L69" s="126">
        <f t="shared" si="3"/>
        <v>0</v>
      </c>
      <c r="M69" s="127" t="str">
        <f t="shared" si="4"/>
        <v>🔴 RED</v>
      </c>
    </row>
    <row r="70" ht="15.75" customHeight="1">
      <c r="H70" s="125" t="str">
        <f t="shared" si="5"/>
        <v/>
      </c>
      <c r="I70" s="18">
        <v>18.0</v>
      </c>
      <c r="K70" s="125" t="str">
        <f t="shared" si="2"/>
        <v/>
      </c>
      <c r="L70" s="126">
        <f t="shared" si="3"/>
        <v>0</v>
      </c>
      <c r="M70" s="127" t="str">
        <f t="shared" si="4"/>
        <v>🔴 RED</v>
      </c>
    </row>
    <row r="71" ht="15.75" customHeight="1">
      <c r="H71" s="125" t="str">
        <f t="shared" si="5"/>
        <v/>
      </c>
      <c r="I71" s="18">
        <v>18.0</v>
      </c>
      <c r="K71" s="125" t="str">
        <f t="shared" si="2"/>
        <v/>
      </c>
      <c r="L71" s="126">
        <f t="shared" si="3"/>
        <v>0</v>
      </c>
      <c r="M71" s="127" t="str">
        <f t="shared" si="4"/>
        <v>🔴 RED</v>
      </c>
    </row>
    <row r="72" ht="15.75" customHeight="1">
      <c r="H72" s="125" t="str">
        <f t="shared" si="5"/>
        <v/>
      </c>
      <c r="I72" s="18">
        <v>18.0</v>
      </c>
      <c r="K72" s="125" t="str">
        <f t="shared" si="2"/>
        <v/>
      </c>
      <c r="L72" s="126">
        <f t="shared" si="3"/>
        <v>0</v>
      </c>
      <c r="M72" s="127" t="str">
        <f t="shared" si="4"/>
        <v>🔴 RED</v>
      </c>
    </row>
    <row r="73" ht="15.75" customHeight="1">
      <c r="H73" s="125" t="str">
        <f t="shared" si="5"/>
        <v/>
      </c>
      <c r="I73" s="18">
        <v>18.0</v>
      </c>
      <c r="K73" s="125" t="str">
        <f t="shared" si="2"/>
        <v/>
      </c>
      <c r="L73" s="126">
        <f t="shared" si="3"/>
        <v>0</v>
      </c>
      <c r="M73" s="127" t="str">
        <f t="shared" si="4"/>
        <v>🔴 RED</v>
      </c>
    </row>
    <row r="74" ht="15.75" customHeight="1">
      <c r="H74" s="125" t="str">
        <f t="shared" si="5"/>
        <v/>
      </c>
      <c r="I74" s="18">
        <v>18.0</v>
      </c>
      <c r="K74" s="125" t="str">
        <f t="shared" si="2"/>
        <v/>
      </c>
      <c r="L74" s="126">
        <f t="shared" si="3"/>
        <v>0</v>
      </c>
      <c r="M74" s="127" t="str">
        <f t="shared" si="4"/>
        <v>🔴 RED</v>
      </c>
    </row>
    <row r="75" ht="15.75" customHeight="1">
      <c r="H75" s="125" t="str">
        <f t="shared" si="5"/>
        <v/>
      </c>
      <c r="I75" s="18">
        <v>18.0</v>
      </c>
      <c r="K75" s="125" t="str">
        <f t="shared" si="2"/>
        <v/>
      </c>
      <c r="L75" s="126">
        <f t="shared" si="3"/>
        <v>0</v>
      </c>
      <c r="M75" s="127" t="str">
        <f t="shared" si="4"/>
        <v>🔴 RED</v>
      </c>
    </row>
    <row r="76" ht="15.75" customHeight="1">
      <c r="H76" s="125" t="str">
        <f t="shared" si="5"/>
        <v/>
      </c>
      <c r="I76" s="18">
        <v>18.0</v>
      </c>
      <c r="K76" s="125" t="str">
        <f t="shared" si="2"/>
        <v/>
      </c>
      <c r="L76" s="126">
        <f t="shared" si="3"/>
        <v>0</v>
      </c>
      <c r="M76" s="127" t="str">
        <f t="shared" si="4"/>
        <v>🔴 RED</v>
      </c>
    </row>
    <row r="77" ht="15.75" customHeight="1">
      <c r="H77" s="125" t="str">
        <f t="shared" si="5"/>
        <v/>
      </c>
      <c r="I77" s="18">
        <v>18.0</v>
      </c>
      <c r="K77" s="125" t="str">
        <f t="shared" si="2"/>
        <v/>
      </c>
      <c r="L77" s="126">
        <f t="shared" si="3"/>
        <v>0</v>
      </c>
      <c r="M77" s="127" t="str">
        <f t="shared" si="4"/>
        <v>🔴 RED</v>
      </c>
    </row>
    <row r="78" ht="15.75" customHeight="1">
      <c r="H78" s="125" t="str">
        <f t="shared" si="5"/>
        <v/>
      </c>
      <c r="I78" s="18">
        <v>18.0</v>
      </c>
      <c r="K78" s="125" t="str">
        <f t="shared" si="2"/>
        <v/>
      </c>
      <c r="L78" s="126">
        <f t="shared" si="3"/>
        <v>0</v>
      </c>
      <c r="M78" s="127" t="str">
        <f t="shared" si="4"/>
        <v>🔴 RED</v>
      </c>
    </row>
    <row r="79" ht="15.75" customHeight="1">
      <c r="H79" s="125" t="str">
        <f t="shared" si="5"/>
        <v/>
      </c>
      <c r="I79" s="18">
        <v>18.0</v>
      </c>
      <c r="K79" s="125" t="str">
        <f t="shared" si="2"/>
        <v/>
      </c>
      <c r="L79" s="126">
        <f t="shared" si="3"/>
        <v>0</v>
      </c>
      <c r="M79" s="127" t="str">
        <f t="shared" si="4"/>
        <v>🔴 RED</v>
      </c>
    </row>
    <row r="80" ht="15.75" customHeight="1">
      <c r="H80" s="125" t="str">
        <f t="shared" si="5"/>
        <v/>
      </c>
      <c r="I80" s="18">
        <v>18.0</v>
      </c>
      <c r="K80" s="125" t="str">
        <f t="shared" si="2"/>
        <v/>
      </c>
      <c r="L80" s="126">
        <f t="shared" si="3"/>
        <v>0</v>
      </c>
      <c r="M80" s="127" t="str">
        <f t="shared" si="4"/>
        <v>🔴 RED</v>
      </c>
    </row>
    <row r="81" ht="15.75" customHeight="1">
      <c r="H81" s="125" t="str">
        <f t="shared" si="5"/>
        <v/>
      </c>
      <c r="I81" s="18">
        <v>18.0</v>
      </c>
      <c r="K81" s="125" t="str">
        <f t="shared" si="2"/>
        <v/>
      </c>
      <c r="L81" s="126">
        <f t="shared" si="3"/>
        <v>0</v>
      </c>
      <c r="M81" s="127" t="str">
        <f t="shared" si="4"/>
        <v>🔴 RED</v>
      </c>
    </row>
    <row r="82" ht="15.75" customHeight="1">
      <c r="H82" s="125" t="str">
        <f t="shared" si="5"/>
        <v/>
      </c>
      <c r="I82" s="18">
        <v>18.0</v>
      </c>
      <c r="K82" s="125" t="str">
        <f t="shared" si="2"/>
        <v/>
      </c>
      <c r="L82" s="126">
        <f t="shared" si="3"/>
        <v>0</v>
      </c>
      <c r="M82" s="127" t="str">
        <f t="shared" si="4"/>
        <v>🔴 RED</v>
      </c>
    </row>
    <row r="83" ht="15.75" customHeight="1">
      <c r="H83" s="125" t="str">
        <f t="shared" si="5"/>
        <v/>
      </c>
      <c r="I83" s="18">
        <v>18.0</v>
      </c>
      <c r="K83" s="125" t="str">
        <f t="shared" si="2"/>
        <v/>
      </c>
      <c r="L83" s="126">
        <f t="shared" si="3"/>
        <v>0</v>
      </c>
      <c r="M83" s="127" t="str">
        <f t="shared" si="4"/>
        <v>🔴 RED</v>
      </c>
    </row>
    <row r="84" ht="15.75" customHeight="1">
      <c r="H84" s="125" t="str">
        <f t="shared" si="5"/>
        <v/>
      </c>
      <c r="I84" s="18">
        <v>18.0</v>
      </c>
      <c r="K84" s="125" t="str">
        <f t="shared" si="2"/>
        <v/>
      </c>
      <c r="L84" s="126">
        <f t="shared" si="3"/>
        <v>0</v>
      </c>
      <c r="M84" s="127" t="str">
        <f t="shared" si="4"/>
        <v>🔴 RED</v>
      </c>
    </row>
    <row r="85" ht="15.75" customHeight="1">
      <c r="H85" s="125" t="str">
        <f t="shared" si="5"/>
        <v/>
      </c>
      <c r="I85" s="18">
        <v>18.0</v>
      </c>
      <c r="K85" s="125" t="str">
        <f t="shared" si="2"/>
        <v/>
      </c>
      <c r="L85" s="126">
        <f t="shared" si="3"/>
        <v>0</v>
      </c>
      <c r="M85" s="127" t="str">
        <f t="shared" si="4"/>
        <v>🔴 RED</v>
      </c>
    </row>
    <row r="86" ht="15.75" customHeight="1">
      <c r="H86" s="125" t="str">
        <f t="shared" si="5"/>
        <v/>
      </c>
      <c r="I86" s="18">
        <v>18.0</v>
      </c>
      <c r="K86" s="125" t="str">
        <f t="shared" si="2"/>
        <v/>
      </c>
      <c r="L86" s="126">
        <f t="shared" si="3"/>
        <v>0</v>
      </c>
      <c r="M86" s="127" t="str">
        <f t="shared" si="4"/>
        <v>🔴 RED</v>
      </c>
    </row>
    <row r="87" ht="15.75" customHeight="1">
      <c r="H87" s="125" t="str">
        <f t="shared" si="5"/>
        <v/>
      </c>
      <c r="I87" s="18">
        <v>18.0</v>
      </c>
      <c r="K87" s="125" t="str">
        <f t="shared" si="2"/>
        <v/>
      </c>
      <c r="L87" s="126">
        <f t="shared" si="3"/>
        <v>0</v>
      </c>
      <c r="M87" s="127" t="str">
        <f t="shared" si="4"/>
        <v>🔴 RED</v>
      </c>
    </row>
    <row r="88" ht="15.75" customHeight="1">
      <c r="H88" s="125" t="str">
        <f t="shared" si="5"/>
        <v/>
      </c>
      <c r="I88" s="18">
        <v>18.0</v>
      </c>
      <c r="K88" s="125" t="str">
        <f t="shared" si="2"/>
        <v/>
      </c>
      <c r="L88" s="126">
        <f t="shared" si="3"/>
        <v>0</v>
      </c>
      <c r="M88" s="127" t="str">
        <f t="shared" si="4"/>
        <v>🔴 RED</v>
      </c>
    </row>
    <row r="89" ht="15.75" customHeight="1">
      <c r="H89" s="125" t="str">
        <f t="shared" si="5"/>
        <v/>
      </c>
      <c r="I89" s="18">
        <v>18.0</v>
      </c>
      <c r="K89" s="125" t="str">
        <f t="shared" si="2"/>
        <v/>
      </c>
      <c r="L89" s="126">
        <f t="shared" si="3"/>
        <v>0</v>
      </c>
      <c r="M89" s="127" t="str">
        <f t="shared" si="4"/>
        <v>🔴 RED</v>
      </c>
    </row>
    <row r="90" ht="15.75" customHeight="1">
      <c r="H90" s="125" t="str">
        <f t="shared" si="5"/>
        <v/>
      </c>
      <c r="I90" s="18">
        <v>18.0</v>
      </c>
      <c r="K90" s="125" t="str">
        <f t="shared" si="2"/>
        <v/>
      </c>
      <c r="L90" s="126">
        <f t="shared" si="3"/>
        <v>0</v>
      </c>
      <c r="M90" s="127" t="str">
        <f t="shared" si="4"/>
        <v>🔴 RED</v>
      </c>
    </row>
    <row r="91" ht="15.75" customHeight="1">
      <c r="H91" s="125" t="str">
        <f t="shared" si="5"/>
        <v/>
      </c>
      <c r="I91" s="18">
        <v>18.0</v>
      </c>
      <c r="K91" s="125" t="str">
        <f t="shared" si="2"/>
        <v/>
      </c>
      <c r="L91" s="126">
        <f t="shared" si="3"/>
        <v>0</v>
      </c>
      <c r="M91" s="127" t="str">
        <f t="shared" si="4"/>
        <v>🔴 RED</v>
      </c>
    </row>
    <row r="92" ht="15.75" customHeight="1">
      <c r="H92" s="125" t="str">
        <f t="shared" si="5"/>
        <v/>
      </c>
      <c r="I92" s="18">
        <v>18.0</v>
      </c>
      <c r="K92" s="125" t="str">
        <f t="shared" si="2"/>
        <v/>
      </c>
      <c r="L92" s="126">
        <f t="shared" si="3"/>
        <v>0</v>
      </c>
      <c r="M92" s="127" t="str">
        <f t="shared" si="4"/>
        <v>🔴 RED</v>
      </c>
    </row>
    <row r="93" ht="15.75" customHeight="1">
      <c r="H93" s="125" t="str">
        <f t="shared" si="5"/>
        <v/>
      </c>
      <c r="I93" s="18">
        <v>18.0</v>
      </c>
      <c r="K93" s="125" t="str">
        <f t="shared" si="2"/>
        <v/>
      </c>
      <c r="L93" s="126">
        <f t="shared" si="3"/>
        <v>0</v>
      </c>
      <c r="M93" s="127" t="str">
        <f t="shared" si="4"/>
        <v>🔴 RED</v>
      </c>
    </row>
    <row r="94" ht="15.75" customHeight="1">
      <c r="H94" s="125" t="str">
        <f t="shared" si="5"/>
        <v/>
      </c>
      <c r="I94" s="18">
        <v>18.0</v>
      </c>
      <c r="K94" s="125" t="str">
        <f t="shared" si="2"/>
        <v/>
      </c>
      <c r="L94" s="126">
        <f t="shared" si="3"/>
        <v>0</v>
      </c>
      <c r="M94" s="127" t="str">
        <f t="shared" si="4"/>
        <v>🔴 RED</v>
      </c>
    </row>
    <row r="95" ht="15.75" customHeight="1">
      <c r="H95" s="125" t="str">
        <f t="shared" si="5"/>
        <v/>
      </c>
      <c r="I95" s="18">
        <v>18.0</v>
      </c>
      <c r="K95" s="125" t="str">
        <f t="shared" si="2"/>
        <v/>
      </c>
      <c r="L95" s="126">
        <f t="shared" si="3"/>
        <v>0</v>
      </c>
      <c r="M95" s="127" t="str">
        <f t="shared" si="4"/>
        <v>🔴 RED</v>
      </c>
    </row>
    <row r="96" ht="15.75" customHeight="1">
      <c r="H96" s="125" t="str">
        <f t="shared" si="5"/>
        <v/>
      </c>
      <c r="I96" s="18">
        <v>18.0</v>
      </c>
      <c r="K96" s="125" t="str">
        <f t="shared" si="2"/>
        <v/>
      </c>
      <c r="L96" s="126">
        <f t="shared" si="3"/>
        <v>0</v>
      </c>
      <c r="M96" s="127" t="str">
        <f t="shared" si="4"/>
        <v>🔴 RED</v>
      </c>
    </row>
    <row r="97" ht="15.75" customHeight="1">
      <c r="H97" s="125" t="str">
        <f t="shared" si="5"/>
        <v/>
      </c>
      <c r="I97" s="18">
        <v>18.0</v>
      </c>
      <c r="K97" s="125" t="str">
        <f t="shared" si="2"/>
        <v/>
      </c>
      <c r="L97" s="126">
        <f t="shared" si="3"/>
        <v>0</v>
      </c>
      <c r="M97" s="127" t="str">
        <f t="shared" si="4"/>
        <v>🔴 RED</v>
      </c>
    </row>
    <row r="98" ht="15.75" customHeight="1">
      <c r="H98" s="125" t="str">
        <f t="shared" si="5"/>
        <v/>
      </c>
      <c r="I98" s="18">
        <v>18.0</v>
      </c>
      <c r="K98" s="125" t="str">
        <f t="shared" si="2"/>
        <v/>
      </c>
      <c r="L98" s="126">
        <f t="shared" si="3"/>
        <v>0</v>
      </c>
      <c r="M98" s="127" t="str">
        <f t="shared" si="4"/>
        <v>🔴 RED</v>
      </c>
    </row>
    <row r="99" ht="15.75" customHeight="1">
      <c r="H99" s="125" t="str">
        <f t="shared" si="5"/>
        <v/>
      </c>
      <c r="I99" s="18">
        <v>18.0</v>
      </c>
      <c r="K99" s="125" t="str">
        <f t="shared" si="2"/>
        <v/>
      </c>
      <c r="L99" s="126">
        <f t="shared" si="3"/>
        <v>0</v>
      </c>
      <c r="M99" s="127" t="str">
        <f t="shared" si="4"/>
        <v>🔴 RED</v>
      </c>
    </row>
    <row r="100" ht="15.75" customHeight="1">
      <c r="H100" s="125" t="str">
        <f t="shared" si="5"/>
        <v/>
      </c>
      <c r="I100" s="18">
        <v>18.0</v>
      </c>
      <c r="K100" s="125" t="str">
        <f t="shared" si="2"/>
        <v/>
      </c>
      <c r="L100" s="126">
        <f t="shared" si="3"/>
        <v>0</v>
      </c>
      <c r="M100" s="127" t="str">
        <f t="shared" si="4"/>
        <v>🔴 RED</v>
      </c>
    </row>
    <row r="101" ht="15.75" customHeight="1">
      <c r="H101" s="125" t="str">
        <f t="shared" si="5"/>
        <v/>
      </c>
      <c r="I101" s="18">
        <v>18.0</v>
      </c>
      <c r="K101" s="125" t="str">
        <f t="shared" si="2"/>
        <v/>
      </c>
      <c r="L101" s="126">
        <f t="shared" si="3"/>
        <v>0</v>
      </c>
      <c r="M101" s="127" t="str">
        <f t="shared" si="4"/>
        <v>🔴 RED</v>
      </c>
    </row>
    <row r="102" ht="15.75" customHeight="1">
      <c r="H102" s="125" t="str">
        <f t="shared" si="5"/>
        <v/>
      </c>
      <c r="I102" s="18">
        <v>18.0</v>
      </c>
      <c r="K102" s="125" t="str">
        <f t="shared" si="2"/>
        <v/>
      </c>
      <c r="L102" s="126">
        <f t="shared" si="3"/>
        <v>0</v>
      </c>
      <c r="M102" s="127" t="str">
        <f t="shared" si="4"/>
        <v>🔴 RED</v>
      </c>
    </row>
    <row r="103" ht="15.75" customHeight="1">
      <c r="H103" s="125" t="str">
        <f t="shared" si="5"/>
        <v/>
      </c>
      <c r="I103" s="18">
        <v>18.0</v>
      </c>
      <c r="K103" s="125" t="str">
        <f t="shared" si="2"/>
        <v/>
      </c>
      <c r="L103" s="126">
        <f t="shared" si="3"/>
        <v>0</v>
      </c>
      <c r="M103" s="127" t="str">
        <f t="shared" si="4"/>
        <v>🔴 RED</v>
      </c>
    </row>
    <row r="104" ht="15.75" customHeight="1">
      <c r="H104" s="125" t="str">
        <f t="shared" si="5"/>
        <v/>
      </c>
      <c r="I104" s="18">
        <v>18.0</v>
      </c>
      <c r="K104" s="125" t="str">
        <f t="shared" si="2"/>
        <v/>
      </c>
      <c r="L104" s="126">
        <f t="shared" si="3"/>
        <v>0</v>
      </c>
      <c r="M104" s="127" t="str">
        <f t="shared" si="4"/>
        <v>🔴 RED</v>
      </c>
    </row>
    <row r="105" ht="15.75" customHeight="1">
      <c r="H105" s="125" t="str">
        <f t="shared" si="5"/>
        <v/>
      </c>
      <c r="I105" s="18">
        <v>18.0</v>
      </c>
      <c r="K105" s="125" t="str">
        <f t="shared" si="2"/>
        <v/>
      </c>
      <c r="L105" s="126">
        <f t="shared" si="3"/>
        <v>0</v>
      </c>
      <c r="M105" s="127" t="str">
        <f t="shared" si="4"/>
        <v>🔴 RED</v>
      </c>
    </row>
    <row r="106" ht="15.75" customHeight="1">
      <c r="H106" s="125" t="str">
        <f t="shared" si="5"/>
        <v/>
      </c>
      <c r="I106" s="18">
        <v>18.0</v>
      </c>
      <c r="K106" s="125" t="str">
        <f t="shared" si="2"/>
        <v/>
      </c>
      <c r="L106" s="126">
        <f t="shared" si="3"/>
        <v>0</v>
      </c>
      <c r="M106" s="127" t="str">
        <f t="shared" si="4"/>
        <v>🔴 RED</v>
      </c>
    </row>
    <row r="107" ht="15.75" customHeight="1">
      <c r="H107" s="125" t="str">
        <f t="shared" si="5"/>
        <v/>
      </c>
      <c r="I107" s="18">
        <v>18.0</v>
      </c>
      <c r="K107" s="125" t="str">
        <f t="shared" si="2"/>
        <v/>
      </c>
      <c r="L107" s="126">
        <f t="shared" si="3"/>
        <v>0</v>
      </c>
      <c r="M107" s="127" t="str">
        <f t="shared" si="4"/>
        <v>🔴 RED</v>
      </c>
    </row>
    <row r="108" ht="15.75" customHeight="1">
      <c r="H108" s="125" t="str">
        <f t="shared" si="5"/>
        <v/>
      </c>
      <c r="I108" s="18">
        <v>18.0</v>
      </c>
      <c r="K108" s="125" t="str">
        <f t="shared" si="2"/>
        <v/>
      </c>
      <c r="L108" s="126">
        <f t="shared" si="3"/>
        <v>0</v>
      </c>
      <c r="M108" s="127" t="str">
        <f t="shared" si="4"/>
        <v>🔴 RED</v>
      </c>
    </row>
    <row r="109" ht="15.75" customHeight="1">
      <c r="H109" s="125" t="str">
        <f t="shared" si="5"/>
        <v/>
      </c>
      <c r="I109" s="18">
        <v>18.0</v>
      </c>
      <c r="K109" s="125" t="str">
        <f t="shared" si="2"/>
        <v/>
      </c>
      <c r="L109" s="126">
        <f t="shared" si="3"/>
        <v>0</v>
      </c>
      <c r="M109" s="127" t="str">
        <f t="shared" si="4"/>
        <v>🔴 RED</v>
      </c>
    </row>
    <row r="110" ht="15.75" customHeight="1">
      <c r="H110" s="125" t="str">
        <f t="shared" si="5"/>
        <v/>
      </c>
      <c r="I110" s="18">
        <v>18.0</v>
      </c>
      <c r="K110" s="125" t="str">
        <f t="shared" si="2"/>
        <v/>
      </c>
      <c r="L110" s="126">
        <f t="shared" si="3"/>
        <v>0</v>
      </c>
      <c r="M110" s="127" t="str">
        <f t="shared" si="4"/>
        <v>🔴 RED</v>
      </c>
    </row>
    <row r="111" ht="15.75" customHeight="1">
      <c r="H111" s="125" t="str">
        <f t="shared" si="5"/>
        <v/>
      </c>
      <c r="I111" s="18">
        <v>18.0</v>
      </c>
      <c r="K111" s="125" t="str">
        <f t="shared" si="2"/>
        <v/>
      </c>
      <c r="L111" s="126">
        <f t="shared" si="3"/>
        <v>0</v>
      </c>
      <c r="M111" s="127" t="str">
        <f t="shared" si="4"/>
        <v>🔴 RED</v>
      </c>
    </row>
    <row r="112" ht="15.75" customHeight="1">
      <c r="H112" s="125" t="str">
        <f t="shared" si="5"/>
        <v/>
      </c>
      <c r="I112" s="18">
        <v>18.0</v>
      </c>
      <c r="K112" s="125" t="str">
        <f t="shared" si="2"/>
        <v/>
      </c>
      <c r="L112" s="126">
        <f t="shared" si="3"/>
        <v>0</v>
      </c>
      <c r="M112" s="127" t="str">
        <f t="shared" si="4"/>
        <v>🔴 RED</v>
      </c>
    </row>
    <row r="113" ht="15.75" customHeight="1">
      <c r="H113" s="125" t="str">
        <f t="shared" si="5"/>
        <v/>
      </c>
      <c r="I113" s="18">
        <v>18.0</v>
      </c>
      <c r="K113" s="125" t="str">
        <f t="shared" si="2"/>
        <v/>
      </c>
      <c r="L113" s="126">
        <f t="shared" si="3"/>
        <v>0</v>
      </c>
      <c r="M113" s="127" t="str">
        <f t="shared" si="4"/>
        <v>🔴 RED</v>
      </c>
    </row>
    <row r="114" ht="15.75" customHeight="1">
      <c r="H114" s="125" t="str">
        <f t="shared" si="5"/>
        <v/>
      </c>
      <c r="I114" s="18">
        <v>18.0</v>
      </c>
      <c r="K114" s="125" t="str">
        <f t="shared" si="2"/>
        <v/>
      </c>
      <c r="L114" s="126">
        <f t="shared" si="3"/>
        <v>0</v>
      </c>
      <c r="M114" s="127" t="str">
        <f t="shared" si="4"/>
        <v>🔴 RED</v>
      </c>
    </row>
    <row r="115" ht="15.75" customHeight="1">
      <c r="H115" s="125" t="str">
        <f t="shared" si="5"/>
        <v/>
      </c>
      <c r="I115" s="18">
        <v>18.0</v>
      </c>
      <c r="K115" s="125" t="str">
        <f t="shared" si="2"/>
        <v/>
      </c>
      <c r="L115" s="126">
        <f t="shared" si="3"/>
        <v>0</v>
      </c>
      <c r="M115" s="127" t="str">
        <f t="shared" si="4"/>
        <v>🔴 RED</v>
      </c>
    </row>
    <row r="116" ht="15.75" customHeight="1">
      <c r="H116" s="125" t="str">
        <f t="shared" si="5"/>
        <v/>
      </c>
      <c r="I116" s="18">
        <v>18.0</v>
      </c>
      <c r="K116" s="125" t="str">
        <f t="shared" si="2"/>
        <v/>
      </c>
      <c r="L116" s="126">
        <f t="shared" si="3"/>
        <v>0</v>
      </c>
      <c r="M116" s="127" t="str">
        <f t="shared" si="4"/>
        <v>🔴 RED</v>
      </c>
    </row>
    <row r="117" ht="15.75" customHeight="1">
      <c r="H117" s="125" t="str">
        <f t="shared" si="5"/>
        <v/>
      </c>
      <c r="I117" s="18">
        <v>18.0</v>
      </c>
      <c r="K117" s="125" t="str">
        <f t="shared" si="2"/>
        <v/>
      </c>
      <c r="L117" s="126">
        <f t="shared" si="3"/>
        <v>0</v>
      </c>
      <c r="M117" s="127" t="str">
        <f t="shared" si="4"/>
        <v>🔴 RED</v>
      </c>
    </row>
    <row r="118" ht="15.75" customHeight="1">
      <c r="H118" s="125" t="str">
        <f t="shared" si="5"/>
        <v/>
      </c>
      <c r="I118" s="18">
        <v>18.0</v>
      </c>
      <c r="K118" s="125" t="str">
        <f t="shared" si="2"/>
        <v/>
      </c>
      <c r="L118" s="126">
        <f t="shared" si="3"/>
        <v>0</v>
      </c>
      <c r="M118" s="127" t="str">
        <f t="shared" si="4"/>
        <v>🔴 RED</v>
      </c>
    </row>
    <row r="119" ht="15.75" customHeight="1">
      <c r="H119" s="125" t="str">
        <f t="shared" si="5"/>
        <v/>
      </c>
      <c r="I119" s="18">
        <v>18.0</v>
      </c>
      <c r="K119" s="125" t="str">
        <f t="shared" si="2"/>
        <v/>
      </c>
      <c r="L119" s="126">
        <f t="shared" si="3"/>
        <v>0</v>
      </c>
      <c r="M119" s="127" t="str">
        <f t="shared" si="4"/>
        <v>🔴 RED</v>
      </c>
    </row>
    <row r="120" ht="15.75" customHeight="1">
      <c r="H120" s="125" t="str">
        <f t="shared" si="5"/>
        <v/>
      </c>
      <c r="I120" s="18">
        <v>18.0</v>
      </c>
      <c r="K120" s="125" t="str">
        <f t="shared" si="2"/>
        <v/>
      </c>
      <c r="L120" s="126">
        <f t="shared" si="3"/>
        <v>0</v>
      </c>
      <c r="M120" s="127" t="str">
        <f t="shared" si="4"/>
        <v>🔴 RED</v>
      </c>
    </row>
    <row r="121" ht="15.75" customHeight="1">
      <c r="H121" s="125" t="str">
        <f t="shared" si="5"/>
        <v/>
      </c>
      <c r="I121" s="18">
        <v>18.0</v>
      </c>
      <c r="K121" s="125" t="str">
        <f t="shared" si="2"/>
        <v/>
      </c>
      <c r="L121" s="126">
        <f t="shared" si="3"/>
        <v>0</v>
      </c>
      <c r="M121" s="127" t="str">
        <f t="shared" si="4"/>
        <v>🔴 RED</v>
      </c>
    </row>
    <row r="122" ht="15.75" customHeight="1">
      <c r="H122" s="125" t="str">
        <f t="shared" si="5"/>
        <v/>
      </c>
      <c r="I122" s="18">
        <v>18.0</v>
      </c>
      <c r="K122" s="125" t="str">
        <f t="shared" si="2"/>
        <v/>
      </c>
      <c r="L122" s="126">
        <f t="shared" si="3"/>
        <v>0</v>
      </c>
      <c r="M122" s="127" t="str">
        <f t="shared" si="4"/>
        <v>🔴 RED</v>
      </c>
    </row>
    <row r="123" ht="15.75" customHeight="1">
      <c r="H123" s="125" t="str">
        <f t="shared" si="5"/>
        <v/>
      </c>
      <c r="I123" s="18">
        <v>18.0</v>
      </c>
      <c r="K123" s="125" t="str">
        <f t="shared" si="2"/>
        <v/>
      </c>
      <c r="L123" s="126">
        <f t="shared" si="3"/>
        <v>0</v>
      </c>
      <c r="M123" s="127" t="str">
        <f t="shared" si="4"/>
        <v>🔴 RED</v>
      </c>
    </row>
    <row r="124" ht="15.75" customHeight="1">
      <c r="H124" s="125" t="str">
        <f t="shared" si="5"/>
        <v/>
      </c>
      <c r="I124" s="18">
        <v>18.0</v>
      </c>
      <c r="K124" s="125" t="str">
        <f t="shared" si="2"/>
        <v/>
      </c>
      <c r="L124" s="126">
        <f t="shared" si="3"/>
        <v>0</v>
      </c>
      <c r="M124" s="127" t="str">
        <f t="shared" si="4"/>
        <v>🔴 RED</v>
      </c>
    </row>
    <row r="125" ht="15.75" customHeight="1">
      <c r="H125" s="125" t="str">
        <f t="shared" si="5"/>
        <v/>
      </c>
      <c r="I125" s="18">
        <v>18.0</v>
      </c>
      <c r="K125" s="125" t="str">
        <f t="shared" si="2"/>
        <v/>
      </c>
      <c r="L125" s="126">
        <f t="shared" si="3"/>
        <v>0</v>
      </c>
      <c r="M125" s="127" t="str">
        <f t="shared" si="4"/>
        <v>🔴 RED</v>
      </c>
    </row>
    <row r="126" ht="15.75" customHeight="1">
      <c r="H126" s="125" t="str">
        <f t="shared" si="5"/>
        <v/>
      </c>
      <c r="I126" s="18">
        <v>18.0</v>
      </c>
      <c r="K126" s="125" t="str">
        <f t="shared" si="2"/>
        <v/>
      </c>
      <c r="L126" s="126">
        <f t="shared" si="3"/>
        <v>0</v>
      </c>
      <c r="M126" s="127" t="str">
        <f t="shared" si="4"/>
        <v>🔴 RED</v>
      </c>
    </row>
    <row r="127" ht="15.75" customHeight="1">
      <c r="H127" s="125" t="str">
        <f t="shared" si="5"/>
        <v/>
      </c>
      <c r="I127" s="18">
        <v>18.0</v>
      </c>
      <c r="K127" s="125" t="str">
        <f t="shared" si="2"/>
        <v/>
      </c>
      <c r="L127" s="126">
        <f t="shared" si="3"/>
        <v>0</v>
      </c>
      <c r="M127" s="127" t="str">
        <f t="shared" si="4"/>
        <v>🔴 RED</v>
      </c>
    </row>
    <row r="128" ht="15.75" customHeight="1">
      <c r="H128" s="125" t="str">
        <f t="shared" si="5"/>
        <v/>
      </c>
      <c r="I128" s="18">
        <v>18.0</v>
      </c>
      <c r="K128" s="125" t="str">
        <f t="shared" si="2"/>
        <v/>
      </c>
      <c r="L128" s="126">
        <f t="shared" si="3"/>
        <v>0</v>
      </c>
      <c r="M128" s="127" t="str">
        <f t="shared" si="4"/>
        <v>🔴 RED</v>
      </c>
    </row>
    <row r="129" ht="15.75" customHeight="1">
      <c r="H129" s="125" t="str">
        <f t="shared" si="5"/>
        <v/>
      </c>
      <c r="I129" s="18">
        <v>18.0</v>
      </c>
      <c r="K129" s="125" t="str">
        <f t="shared" si="2"/>
        <v/>
      </c>
      <c r="L129" s="126">
        <f t="shared" si="3"/>
        <v>0</v>
      </c>
      <c r="M129" s="127" t="str">
        <f t="shared" si="4"/>
        <v>🔴 RED</v>
      </c>
    </row>
    <row r="130" ht="15.75" customHeight="1">
      <c r="H130" s="125" t="str">
        <f t="shared" si="5"/>
        <v/>
      </c>
      <c r="I130" s="18">
        <v>18.0</v>
      </c>
      <c r="K130" s="125" t="str">
        <f t="shared" si="2"/>
        <v/>
      </c>
      <c r="L130" s="126">
        <f t="shared" si="3"/>
        <v>0</v>
      </c>
      <c r="M130" s="127" t="str">
        <f t="shared" si="4"/>
        <v>🔴 RED</v>
      </c>
    </row>
    <row r="131" ht="15.75" customHeight="1">
      <c r="H131" s="125" t="str">
        <f t="shared" si="5"/>
        <v/>
      </c>
      <c r="I131" s="18">
        <v>18.0</v>
      </c>
      <c r="K131" s="125" t="str">
        <f t="shared" si="2"/>
        <v/>
      </c>
      <c r="L131" s="126">
        <f t="shared" si="3"/>
        <v>0</v>
      </c>
      <c r="M131" s="127" t="str">
        <f t="shared" si="4"/>
        <v>🔴 RED</v>
      </c>
    </row>
    <row r="132" ht="15.75" customHeight="1">
      <c r="H132" s="125" t="str">
        <f t="shared" si="5"/>
        <v/>
      </c>
      <c r="I132" s="18">
        <v>18.0</v>
      </c>
      <c r="K132" s="125" t="str">
        <f t="shared" si="2"/>
        <v/>
      </c>
      <c r="L132" s="126">
        <f t="shared" si="3"/>
        <v>0</v>
      </c>
      <c r="M132" s="127" t="str">
        <f t="shared" si="4"/>
        <v>🔴 RED</v>
      </c>
    </row>
    <row r="133" ht="15.75" customHeight="1">
      <c r="H133" s="125" t="str">
        <f t="shared" si="5"/>
        <v/>
      </c>
      <c r="I133" s="18">
        <v>18.0</v>
      </c>
      <c r="K133" s="125" t="str">
        <f t="shared" si="2"/>
        <v/>
      </c>
      <c r="L133" s="126">
        <f t="shared" si="3"/>
        <v>0</v>
      </c>
      <c r="M133" s="127" t="str">
        <f t="shared" si="4"/>
        <v>🔴 RED</v>
      </c>
    </row>
    <row r="134" ht="15.75" customHeight="1">
      <c r="H134" s="125" t="str">
        <f t="shared" si="5"/>
        <v/>
      </c>
      <c r="I134" s="18">
        <v>18.0</v>
      </c>
      <c r="K134" s="125" t="str">
        <f t="shared" si="2"/>
        <v/>
      </c>
      <c r="L134" s="126">
        <f t="shared" si="3"/>
        <v>0</v>
      </c>
      <c r="M134" s="127" t="str">
        <f t="shared" si="4"/>
        <v>🔴 RED</v>
      </c>
    </row>
    <row r="135" ht="15.75" customHeight="1">
      <c r="H135" s="125" t="str">
        <f t="shared" si="5"/>
        <v/>
      </c>
      <c r="I135" s="18">
        <v>18.0</v>
      </c>
      <c r="K135" s="125" t="str">
        <f t="shared" si="2"/>
        <v/>
      </c>
      <c r="L135" s="126">
        <f t="shared" si="3"/>
        <v>0</v>
      </c>
      <c r="M135" s="127" t="str">
        <f t="shared" si="4"/>
        <v>🔴 RED</v>
      </c>
    </row>
    <row r="136" ht="15.75" customHeight="1">
      <c r="H136" s="125" t="str">
        <f t="shared" si="5"/>
        <v/>
      </c>
      <c r="I136" s="18">
        <v>18.0</v>
      </c>
      <c r="K136" s="125" t="str">
        <f t="shared" si="2"/>
        <v/>
      </c>
      <c r="L136" s="126">
        <f t="shared" si="3"/>
        <v>0</v>
      </c>
      <c r="M136" s="127" t="str">
        <f t="shared" si="4"/>
        <v>🔴 RED</v>
      </c>
    </row>
    <row r="137" ht="15.75" customHeight="1">
      <c r="H137" s="125" t="str">
        <f t="shared" si="5"/>
        <v/>
      </c>
      <c r="I137" s="18">
        <v>18.0</v>
      </c>
      <c r="K137" s="125" t="str">
        <f t="shared" si="2"/>
        <v/>
      </c>
      <c r="L137" s="126">
        <f t="shared" si="3"/>
        <v>0</v>
      </c>
      <c r="M137" s="127" t="str">
        <f t="shared" si="4"/>
        <v>🔴 RED</v>
      </c>
    </row>
    <row r="138" ht="15.75" customHeight="1">
      <c r="H138" s="125" t="str">
        <f t="shared" si="5"/>
        <v/>
      </c>
      <c r="I138" s="18">
        <v>18.0</v>
      </c>
      <c r="K138" s="125" t="str">
        <f t="shared" si="2"/>
        <v/>
      </c>
      <c r="L138" s="126">
        <f t="shared" si="3"/>
        <v>0</v>
      </c>
      <c r="M138" s="127" t="str">
        <f t="shared" si="4"/>
        <v>🔴 RED</v>
      </c>
    </row>
    <row r="139" ht="15.75" customHeight="1">
      <c r="H139" s="125" t="str">
        <f t="shared" si="5"/>
        <v/>
      </c>
      <c r="I139" s="18">
        <v>18.0</v>
      </c>
      <c r="K139" s="125" t="str">
        <f t="shared" si="2"/>
        <v/>
      </c>
      <c r="L139" s="126">
        <f t="shared" si="3"/>
        <v>0</v>
      </c>
      <c r="M139" s="127" t="str">
        <f t="shared" si="4"/>
        <v>🔴 RED</v>
      </c>
    </row>
    <row r="140" ht="15.75" customHeight="1">
      <c r="H140" s="125" t="str">
        <f t="shared" si="5"/>
        <v/>
      </c>
      <c r="I140" s="18">
        <v>18.0</v>
      </c>
      <c r="K140" s="125" t="str">
        <f t="shared" si="2"/>
        <v/>
      </c>
      <c r="L140" s="126">
        <f t="shared" si="3"/>
        <v>0</v>
      </c>
      <c r="M140" s="127" t="str">
        <f t="shared" si="4"/>
        <v>🔴 RED</v>
      </c>
    </row>
    <row r="141" ht="15.75" customHeight="1">
      <c r="H141" s="125" t="str">
        <f t="shared" si="5"/>
        <v/>
      </c>
      <c r="I141" s="18">
        <v>18.0</v>
      </c>
      <c r="K141" s="125" t="str">
        <f t="shared" si="2"/>
        <v/>
      </c>
      <c r="L141" s="126">
        <f t="shared" si="3"/>
        <v>0</v>
      </c>
      <c r="M141" s="127" t="str">
        <f t="shared" si="4"/>
        <v>🔴 RED</v>
      </c>
    </row>
    <row r="142" ht="15.75" customHeight="1">
      <c r="H142" s="125" t="str">
        <f t="shared" si="5"/>
        <v/>
      </c>
      <c r="I142" s="18">
        <v>18.0</v>
      </c>
      <c r="K142" s="125" t="str">
        <f t="shared" si="2"/>
        <v/>
      </c>
      <c r="L142" s="126">
        <f t="shared" si="3"/>
        <v>0</v>
      </c>
      <c r="M142" s="127" t="str">
        <f t="shared" si="4"/>
        <v>🔴 RED</v>
      </c>
    </row>
    <row r="143" ht="15.75" customHeight="1">
      <c r="H143" s="125" t="str">
        <f t="shared" si="5"/>
        <v/>
      </c>
      <c r="I143" s="18">
        <v>18.0</v>
      </c>
      <c r="K143" s="125" t="str">
        <f t="shared" si="2"/>
        <v/>
      </c>
      <c r="L143" s="126">
        <f t="shared" si="3"/>
        <v>0</v>
      </c>
      <c r="M143" s="127" t="str">
        <f t="shared" si="4"/>
        <v>🔴 RED</v>
      </c>
    </row>
    <row r="144" ht="15.75" customHeight="1">
      <c r="H144" s="125" t="str">
        <f t="shared" si="5"/>
        <v/>
      </c>
      <c r="I144" s="18">
        <v>18.0</v>
      </c>
      <c r="K144" s="125" t="str">
        <f t="shared" si="2"/>
        <v/>
      </c>
      <c r="L144" s="126">
        <f t="shared" si="3"/>
        <v>0</v>
      </c>
      <c r="M144" s="127" t="str">
        <f t="shared" si="4"/>
        <v>🔴 RED</v>
      </c>
    </row>
    <row r="145" ht="15.75" customHeight="1">
      <c r="H145" s="125" t="str">
        <f t="shared" si="5"/>
        <v/>
      </c>
      <c r="I145" s="18">
        <v>18.0</v>
      </c>
      <c r="K145" s="125" t="str">
        <f t="shared" si="2"/>
        <v/>
      </c>
      <c r="L145" s="126">
        <f t="shared" si="3"/>
        <v>0</v>
      </c>
      <c r="M145" s="127" t="str">
        <f t="shared" si="4"/>
        <v>🔴 RED</v>
      </c>
    </row>
    <row r="146" ht="15.75" customHeight="1">
      <c r="H146" s="125" t="str">
        <f t="shared" si="5"/>
        <v/>
      </c>
      <c r="I146" s="18">
        <v>18.0</v>
      </c>
      <c r="K146" s="125" t="str">
        <f t="shared" si="2"/>
        <v/>
      </c>
      <c r="L146" s="126">
        <f t="shared" si="3"/>
        <v>0</v>
      </c>
      <c r="M146" s="127" t="str">
        <f t="shared" si="4"/>
        <v>🔴 RED</v>
      </c>
    </row>
    <row r="147" ht="15.75" customHeight="1">
      <c r="H147" s="125" t="str">
        <f t="shared" si="5"/>
        <v/>
      </c>
      <c r="I147" s="18">
        <v>18.0</v>
      </c>
      <c r="K147" s="125" t="str">
        <f t="shared" si="2"/>
        <v/>
      </c>
      <c r="L147" s="126">
        <f t="shared" si="3"/>
        <v>0</v>
      </c>
      <c r="M147" s="127" t="str">
        <f t="shared" si="4"/>
        <v>🔴 RED</v>
      </c>
    </row>
    <row r="148" ht="15.75" customHeight="1">
      <c r="H148" s="125" t="str">
        <f t="shared" si="5"/>
        <v/>
      </c>
      <c r="I148" s="18">
        <v>18.0</v>
      </c>
      <c r="K148" s="125" t="str">
        <f t="shared" si="2"/>
        <v/>
      </c>
      <c r="L148" s="126">
        <f t="shared" si="3"/>
        <v>0</v>
      </c>
      <c r="M148" s="127" t="str">
        <f t="shared" si="4"/>
        <v>🔴 RED</v>
      </c>
    </row>
    <row r="149" ht="15.75" customHeight="1">
      <c r="H149" s="125" t="str">
        <f t="shared" si="5"/>
        <v/>
      </c>
      <c r="I149" s="18">
        <v>18.0</v>
      </c>
      <c r="K149" s="125" t="str">
        <f t="shared" si="2"/>
        <v/>
      </c>
      <c r="L149" s="126">
        <f t="shared" si="3"/>
        <v>0</v>
      </c>
      <c r="M149" s="127" t="str">
        <f t="shared" si="4"/>
        <v>🔴 RED</v>
      </c>
    </row>
    <row r="150" ht="15.75" customHeight="1">
      <c r="H150" s="125" t="str">
        <f t="shared" si="5"/>
        <v/>
      </c>
      <c r="I150" s="18">
        <v>18.0</v>
      </c>
      <c r="K150" s="125" t="str">
        <f t="shared" si="2"/>
        <v/>
      </c>
      <c r="L150" s="126">
        <f t="shared" si="3"/>
        <v>0</v>
      </c>
      <c r="M150" s="127" t="str">
        <f t="shared" si="4"/>
        <v>🔴 RED</v>
      </c>
    </row>
    <row r="151" ht="15.75" customHeight="1">
      <c r="H151" s="125" t="str">
        <f t="shared" si="5"/>
        <v/>
      </c>
      <c r="I151" s="18">
        <v>18.0</v>
      </c>
      <c r="K151" s="125" t="str">
        <f t="shared" si="2"/>
        <v/>
      </c>
      <c r="L151" s="126">
        <f t="shared" si="3"/>
        <v>0</v>
      </c>
      <c r="M151" s="127" t="str">
        <f t="shared" si="4"/>
        <v>🔴 RED</v>
      </c>
    </row>
    <row r="152" ht="15.75" customHeight="1">
      <c r="H152" s="125" t="str">
        <f t="shared" si="5"/>
        <v/>
      </c>
      <c r="I152" s="18">
        <v>18.0</v>
      </c>
      <c r="K152" s="125" t="str">
        <f t="shared" si="2"/>
        <v/>
      </c>
      <c r="L152" s="126">
        <f t="shared" si="3"/>
        <v>0</v>
      </c>
      <c r="M152" s="127" t="str">
        <f t="shared" si="4"/>
        <v>🔴 RED</v>
      </c>
    </row>
    <row r="153" ht="15.75" customHeight="1">
      <c r="H153" s="125" t="str">
        <f t="shared" si="5"/>
        <v/>
      </c>
      <c r="I153" s="18">
        <v>18.0</v>
      </c>
      <c r="K153" s="125" t="str">
        <f t="shared" si="2"/>
        <v/>
      </c>
      <c r="L153" s="126">
        <f t="shared" si="3"/>
        <v>0</v>
      </c>
      <c r="M153" s="127" t="str">
        <f t="shared" si="4"/>
        <v>🔴 RED</v>
      </c>
    </row>
    <row r="154" ht="15.75" customHeight="1">
      <c r="H154" s="125" t="str">
        <f t="shared" si="5"/>
        <v/>
      </c>
      <c r="I154" s="18">
        <v>18.0</v>
      </c>
      <c r="K154" s="125" t="str">
        <f t="shared" si="2"/>
        <v/>
      </c>
      <c r="L154" s="126">
        <f t="shared" si="3"/>
        <v>0</v>
      </c>
      <c r="M154" s="127" t="str">
        <f t="shared" si="4"/>
        <v>🔴 RED</v>
      </c>
    </row>
    <row r="155" ht="15.75" customHeight="1">
      <c r="H155" s="125" t="str">
        <f t="shared" si="5"/>
        <v/>
      </c>
      <c r="I155" s="18">
        <v>18.0</v>
      </c>
      <c r="K155" s="125" t="str">
        <f t="shared" si="2"/>
        <v/>
      </c>
      <c r="L155" s="126">
        <f t="shared" si="3"/>
        <v>0</v>
      </c>
      <c r="M155" s="127" t="str">
        <f t="shared" si="4"/>
        <v>🔴 RED</v>
      </c>
    </row>
    <row r="156" ht="15.75" customHeight="1">
      <c r="H156" s="125" t="str">
        <f t="shared" si="5"/>
        <v/>
      </c>
      <c r="I156" s="18">
        <v>18.0</v>
      </c>
      <c r="K156" s="125" t="str">
        <f t="shared" si="2"/>
        <v/>
      </c>
      <c r="L156" s="126">
        <f t="shared" si="3"/>
        <v>0</v>
      </c>
      <c r="M156" s="127" t="str">
        <f t="shared" si="4"/>
        <v>🔴 RED</v>
      </c>
    </row>
    <row r="157" ht="15.75" customHeight="1">
      <c r="H157" s="125" t="str">
        <f t="shared" si="5"/>
        <v/>
      </c>
      <c r="I157" s="18">
        <v>18.0</v>
      </c>
      <c r="K157" s="125" t="str">
        <f t="shared" si="2"/>
        <v/>
      </c>
      <c r="L157" s="126">
        <f t="shared" si="3"/>
        <v>0</v>
      </c>
      <c r="M157" s="127" t="str">
        <f t="shared" si="4"/>
        <v>🔴 RED</v>
      </c>
    </row>
    <row r="158" ht="15.75" customHeight="1">
      <c r="H158" s="125" t="str">
        <f t="shared" si="5"/>
        <v/>
      </c>
      <c r="I158" s="18">
        <v>18.0</v>
      </c>
      <c r="K158" s="125" t="str">
        <f t="shared" si="2"/>
        <v/>
      </c>
      <c r="L158" s="126">
        <f t="shared" si="3"/>
        <v>0</v>
      </c>
      <c r="M158" s="127" t="str">
        <f t="shared" si="4"/>
        <v>🔴 RED</v>
      </c>
    </row>
    <row r="159" ht="15.75" customHeight="1">
      <c r="H159" s="125" t="str">
        <f t="shared" si="5"/>
        <v/>
      </c>
      <c r="I159" s="18">
        <v>18.0</v>
      </c>
      <c r="K159" s="125" t="str">
        <f t="shared" si="2"/>
        <v/>
      </c>
      <c r="L159" s="126">
        <f t="shared" si="3"/>
        <v>0</v>
      </c>
      <c r="M159" s="127" t="str">
        <f t="shared" si="4"/>
        <v>🔴 RED</v>
      </c>
    </row>
    <row r="160" ht="15.75" customHeight="1">
      <c r="H160" s="125" t="str">
        <f t="shared" si="5"/>
        <v/>
      </c>
      <c r="I160" s="18">
        <v>18.0</v>
      </c>
      <c r="K160" s="125" t="str">
        <f t="shared" si="2"/>
        <v/>
      </c>
      <c r="L160" s="126">
        <f t="shared" si="3"/>
        <v>0</v>
      </c>
      <c r="M160" s="127" t="str">
        <f t="shared" si="4"/>
        <v>🔴 RED</v>
      </c>
    </row>
    <row r="161" ht="15.75" customHeight="1">
      <c r="H161" s="125" t="str">
        <f t="shared" si="5"/>
        <v/>
      </c>
      <c r="I161" s="18">
        <v>18.0</v>
      </c>
      <c r="K161" s="125" t="str">
        <f t="shared" si="2"/>
        <v/>
      </c>
      <c r="L161" s="126">
        <f t="shared" si="3"/>
        <v>0</v>
      </c>
      <c r="M161" s="127" t="str">
        <f t="shared" si="4"/>
        <v>🔴 RED</v>
      </c>
    </row>
    <row r="162" ht="15.75" customHeight="1">
      <c r="H162" s="125" t="str">
        <f t="shared" si="5"/>
        <v/>
      </c>
      <c r="I162" s="18">
        <v>18.0</v>
      </c>
      <c r="K162" s="125" t="str">
        <f t="shared" si="2"/>
        <v/>
      </c>
      <c r="L162" s="126">
        <f t="shared" si="3"/>
        <v>0</v>
      </c>
      <c r="M162" s="127" t="str">
        <f t="shared" si="4"/>
        <v>🔴 RED</v>
      </c>
    </row>
    <row r="163" ht="15.75" customHeight="1">
      <c r="H163" s="125" t="str">
        <f t="shared" si="5"/>
        <v/>
      </c>
      <c r="I163" s="18">
        <v>18.0</v>
      </c>
      <c r="K163" s="125" t="str">
        <f t="shared" si="2"/>
        <v/>
      </c>
      <c r="L163" s="126">
        <f t="shared" si="3"/>
        <v>0</v>
      </c>
      <c r="M163" s="127" t="str">
        <f t="shared" si="4"/>
        <v>🔴 RED</v>
      </c>
    </row>
    <row r="164" ht="15.75" customHeight="1">
      <c r="H164" s="125" t="str">
        <f t="shared" si="5"/>
        <v/>
      </c>
      <c r="I164" s="18">
        <v>18.0</v>
      </c>
      <c r="K164" s="125" t="str">
        <f t="shared" si="2"/>
        <v/>
      </c>
      <c r="L164" s="126">
        <f t="shared" si="3"/>
        <v>0</v>
      </c>
      <c r="M164" s="127" t="str">
        <f t="shared" si="4"/>
        <v>🔴 RED</v>
      </c>
    </row>
    <row r="165" ht="15.75" customHeight="1">
      <c r="H165" s="125" t="str">
        <f t="shared" si="5"/>
        <v/>
      </c>
      <c r="I165" s="18">
        <v>18.0</v>
      </c>
      <c r="K165" s="125" t="str">
        <f t="shared" si="2"/>
        <v/>
      </c>
      <c r="L165" s="126">
        <f t="shared" si="3"/>
        <v>0</v>
      </c>
      <c r="M165" s="127" t="str">
        <f t="shared" si="4"/>
        <v>🔴 RED</v>
      </c>
    </row>
    <row r="166" ht="15.75" customHeight="1">
      <c r="H166" s="125" t="str">
        <f t="shared" si="5"/>
        <v/>
      </c>
      <c r="I166" s="18">
        <v>18.0</v>
      </c>
      <c r="K166" s="125" t="str">
        <f t="shared" si="2"/>
        <v/>
      </c>
      <c r="L166" s="126">
        <f t="shared" si="3"/>
        <v>0</v>
      </c>
      <c r="M166" s="127" t="str">
        <f t="shared" si="4"/>
        <v>🔴 RED</v>
      </c>
    </row>
    <row r="167" ht="15.75" customHeight="1">
      <c r="H167" s="125" t="str">
        <f t="shared" si="5"/>
        <v/>
      </c>
      <c r="I167" s="18">
        <v>18.0</v>
      </c>
      <c r="K167" s="125" t="str">
        <f t="shared" si="2"/>
        <v/>
      </c>
      <c r="L167" s="126">
        <f t="shared" si="3"/>
        <v>0</v>
      </c>
      <c r="M167" s="127" t="str">
        <f t="shared" si="4"/>
        <v>🔴 RED</v>
      </c>
    </row>
    <row r="168" ht="15.75" customHeight="1">
      <c r="H168" s="125" t="str">
        <f t="shared" si="5"/>
        <v/>
      </c>
      <c r="I168" s="18">
        <v>18.0</v>
      </c>
      <c r="K168" s="125" t="str">
        <f t="shared" si="2"/>
        <v/>
      </c>
      <c r="L168" s="126">
        <f t="shared" si="3"/>
        <v>0</v>
      </c>
      <c r="M168" s="127" t="str">
        <f t="shared" si="4"/>
        <v>🔴 RED</v>
      </c>
    </row>
    <row r="169" ht="15.75" customHeight="1">
      <c r="H169" s="125" t="str">
        <f t="shared" si="5"/>
        <v/>
      </c>
      <c r="I169" s="18">
        <v>18.0</v>
      </c>
      <c r="K169" s="125" t="str">
        <f t="shared" si="2"/>
        <v/>
      </c>
      <c r="L169" s="126">
        <f t="shared" si="3"/>
        <v>0</v>
      </c>
      <c r="M169" s="127" t="str">
        <f t="shared" si="4"/>
        <v>🔴 RED</v>
      </c>
    </row>
    <row r="170" ht="15.75" customHeight="1">
      <c r="H170" s="125" t="str">
        <f t="shared" si="5"/>
        <v/>
      </c>
      <c r="I170" s="18">
        <v>18.0</v>
      </c>
      <c r="K170" s="125" t="str">
        <f t="shared" si="2"/>
        <v/>
      </c>
      <c r="L170" s="126">
        <f t="shared" si="3"/>
        <v>0</v>
      </c>
      <c r="M170" s="127" t="str">
        <f t="shared" si="4"/>
        <v>🔴 RED</v>
      </c>
    </row>
    <row r="171" ht="15.75" customHeight="1">
      <c r="H171" s="125" t="str">
        <f t="shared" si="5"/>
        <v/>
      </c>
      <c r="I171" s="18">
        <v>18.0</v>
      </c>
      <c r="K171" s="125" t="str">
        <f t="shared" si="2"/>
        <v/>
      </c>
      <c r="L171" s="126">
        <f t="shared" si="3"/>
        <v>0</v>
      </c>
      <c r="M171" s="127" t="str">
        <f t="shared" si="4"/>
        <v>🔴 RED</v>
      </c>
    </row>
    <row r="172" ht="15.75" customHeight="1">
      <c r="H172" s="125" t="str">
        <f t="shared" si="5"/>
        <v/>
      </c>
      <c r="I172" s="18">
        <v>18.0</v>
      </c>
      <c r="K172" s="125" t="str">
        <f t="shared" si="2"/>
        <v/>
      </c>
      <c r="L172" s="126">
        <f t="shared" si="3"/>
        <v>0</v>
      </c>
      <c r="M172" s="127" t="str">
        <f t="shared" si="4"/>
        <v>🔴 RED</v>
      </c>
    </row>
    <row r="173" ht="15.75" customHeight="1">
      <c r="H173" s="125" t="str">
        <f t="shared" si="5"/>
        <v/>
      </c>
      <c r="I173" s="18">
        <v>18.0</v>
      </c>
      <c r="K173" s="125" t="str">
        <f t="shared" si="2"/>
        <v/>
      </c>
      <c r="L173" s="126">
        <f t="shared" si="3"/>
        <v>0</v>
      </c>
      <c r="M173" s="127" t="str">
        <f t="shared" si="4"/>
        <v>🔴 RED</v>
      </c>
    </row>
    <row r="174" ht="15.75" customHeight="1">
      <c r="H174" s="125" t="str">
        <f t="shared" si="5"/>
        <v/>
      </c>
      <c r="I174" s="18">
        <v>18.0</v>
      </c>
      <c r="K174" s="125" t="str">
        <f t="shared" si="2"/>
        <v/>
      </c>
      <c r="L174" s="126">
        <f t="shared" si="3"/>
        <v>0</v>
      </c>
      <c r="M174" s="127" t="str">
        <f t="shared" si="4"/>
        <v>🔴 RED</v>
      </c>
    </row>
    <row r="175" ht="15.75" customHeight="1">
      <c r="H175" s="125" t="str">
        <f t="shared" si="5"/>
        <v/>
      </c>
      <c r="I175" s="18">
        <v>18.0</v>
      </c>
      <c r="K175" s="125" t="str">
        <f t="shared" si="2"/>
        <v/>
      </c>
      <c r="L175" s="126">
        <f t="shared" si="3"/>
        <v>0</v>
      </c>
      <c r="M175" s="127" t="str">
        <f t="shared" si="4"/>
        <v>🔴 RED</v>
      </c>
    </row>
    <row r="176" ht="15.75" customHeight="1">
      <c r="H176" s="125" t="str">
        <f t="shared" si="5"/>
        <v/>
      </c>
      <c r="I176" s="18">
        <v>18.0</v>
      </c>
      <c r="K176" s="125" t="str">
        <f t="shared" si="2"/>
        <v/>
      </c>
      <c r="L176" s="126">
        <f t="shared" si="3"/>
        <v>0</v>
      </c>
      <c r="M176" s="127" t="str">
        <f t="shared" si="4"/>
        <v>🔴 RED</v>
      </c>
    </row>
    <row r="177" ht="15.75" customHeight="1">
      <c r="H177" s="125" t="str">
        <f t="shared" si="5"/>
        <v/>
      </c>
      <c r="I177" s="18">
        <v>18.0</v>
      </c>
      <c r="K177" s="125" t="str">
        <f t="shared" si="2"/>
        <v/>
      </c>
      <c r="L177" s="126">
        <f t="shared" si="3"/>
        <v>0</v>
      </c>
      <c r="M177" s="127" t="str">
        <f t="shared" si="4"/>
        <v>🔴 RED</v>
      </c>
    </row>
    <row r="178" ht="15.75" customHeight="1">
      <c r="H178" s="125" t="str">
        <f t="shared" si="5"/>
        <v/>
      </c>
      <c r="I178" s="18">
        <v>18.0</v>
      </c>
      <c r="K178" s="125" t="str">
        <f t="shared" si="2"/>
        <v/>
      </c>
      <c r="L178" s="126">
        <f t="shared" si="3"/>
        <v>0</v>
      </c>
      <c r="M178" s="127" t="str">
        <f t="shared" si="4"/>
        <v>🔴 RED</v>
      </c>
    </row>
    <row r="179" ht="15.75" customHeight="1">
      <c r="H179" s="125" t="str">
        <f t="shared" si="5"/>
        <v/>
      </c>
      <c r="I179" s="18">
        <v>18.0</v>
      </c>
      <c r="K179" s="125" t="str">
        <f t="shared" si="2"/>
        <v/>
      </c>
      <c r="L179" s="126">
        <f t="shared" si="3"/>
        <v>0</v>
      </c>
      <c r="M179" s="127" t="str">
        <f t="shared" si="4"/>
        <v>🔴 RED</v>
      </c>
    </row>
    <row r="180" ht="15.75" customHeight="1">
      <c r="H180" s="125" t="str">
        <f t="shared" si="5"/>
        <v/>
      </c>
      <c r="I180" s="18">
        <v>18.0</v>
      </c>
      <c r="K180" s="125" t="str">
        <f t="shared" si="2"/>
        <v/>
      </c>
      <c r="L180" s="126">
        <f t="shared" si="3"/>
        <v>0</v>
      </c>
      <c r="M180" s="127" t="str">
        <f t="shared" si="4"/>
        <v>🔴 RED</v>
      </c>
    </row>
    <row r="181" ht="15.75" customHeight="1">
      <c r="H181" s="125" t="str">
        <f t="shared" si="5"/>
        <v/>
      </c>
      <c r="I181" s="18">
        <v>18.0</v>
      </c>
      <c r="K181" s="125" t="str">
        <f t="shared" si="2"/>
        <v/>
      </c>
      <c r="L181" s="126">
        <f t="shared" si="3"/>
        <v>0</v>
      </c>
      <c r="M181" s="127" t="str">
        <f t="shared" si="4"/>
        <v>🔴 RED</v>
      </c>
    </row>
    <row r="182" ht="15.75" customHeight="1">
      <c r="H182" s="125" t="str">
        <f t="shared" si="5"/>
        <v/>
      </c>
      <c r="I182" s="18">
        <v>18.0</v>
      </c>
      <c r="K182" s="125" t="str">
        <f t="shared" si="2"/>
        <v/>
      </c>
      <c r="L182" s="126">
        <f t="shared" si="3"/>
        <v>0</v>
      </c>
      <c r="M182" s="127" t="str">
        <f t="shared" si="4"/>
        <v>🔴 RED</v>
      </c>
    </row>
    <row r="183" ht="15.75" customHeight="1">
      <c r="H183" s="125" t="str">
        <f t="shared" si="5"/>
        <v/>
      </c>
      <c r="I183" s="18">
        <v>18.0</v>
      </c>
      <c r="K183" s="125" t="str">
        <f t="shared" si="2"/>
        <v/>
      </c>
      <c r="L183" s="126">
        <f t="shared" si="3"/>
        <v>0</v>
      </c>
      <c r="M183" s="127" t="str">
        <f t="shared" si="4"/>
        <v>🔴 RED</v>
      </c>
    </row>
    <row r="184" ht="15.75" customHeight="1">
      <c r="H184" s="125" t="str">
        <f t="shared" si="5"/>
        <v/>
      </c>
      <c r="I184" s="18">
        <v>18.0</v>
      </c>
      <c r="K184" s="125" t="str">
        <f t="shared" si="2"/>
        <v/>
      </c>
      <c r="L184" s="126">
        <f t="shared" si="3"/>
        <v>0</v>
      </c>
      <c r="M184" s="127" t="str">
        <f t="shared" si="4"/>
        <v>🔴 RED</v>
      </c>
    </row>
    <row r="185" ht="15.75" customHeight="1">
      <c r="H185" s="125" t="str">
        <f t="shared" si="5"/>
        <v/>
      </c>
      <c r="I185" s="18">
        <v>18.0</v>
      </c>
      <c r="K185" s="125" t="str">
        <f t="shared" si="2"/>
        <v/>
      </c>
      <c r="L185" s="126">
        <f t="shared" si="3"/>
        <v>0</v>
      </c>
      <c r="M185" s="127" t="str">
        <f t="shared" si="4"/>
        <v>🔴 RED</v>
      </c>
    </row>
    <row r="186" ht="15.75" customHeight="1">
      <c r="H186" s="125" t="str">
        <f t="shared" si="5"/>
        <v/>
      </c>
      <c r="I186" s="18">
        <v>18.0</v>
      </c>
      <c r="K186" s="125" t="str">
        <f t="shared" si="2"/>
        <v/>
      </c>
      <c r="L186" s="126">
        <f t="shared" si="3"/>
        <v>0</v>
      </c>
      <c r="M186" s="127" t="str">
        <f t="shared" si="4"/>
        <v>🔴 RED</v>
      </c>
    </row>
    <row r="187" ht="15.75" customHeight="1">
      <c r="H187" s="125" t="str">
        <f t="shared" si="5"/>
        <v/>
      </c>
      <c r="I187" s="18">
        <v>18.0</v>
      </c>
      <c r="K187" s="125" t="str">
        <f t="shared" si="2"/>
        <v/>
      </c>
      <c r="L187" s="126">
        <f t="shared" si="3"/>
        <v>0</v>
      </c>
      <c r="M187" s="127" t="str">
        <f t="shared" si="4"/>
        <v>🔴 RED</v>
      </c>
    </row>
    <row r="188" ht="15.75" customHeight="1">
      <c r="H188" s="125" t="str">
        <f t="shared" si="5"/>
        <v/>
      </c>
      <c r="I188" s="18">
        <v>18.0</v>
      </c>
      <c r="K188" s="125" t="str">
        <f t="shared" si="2"/>
        <v/>
      </c>
      <c r="L188" s="126">
        <f t="shared" si="3"/>
        <v>0</v>
      </c>
      <c r="M188" s="127" t="str">
        <f t="shared" si="4"/>
        <v>🔴 RED</v>
      </c>
    </row>
    <row r="189" ht="15.75" customHeight="1">
      <c r="H189" s="125" t="str">
        <f t="shared" si="5"/>
        <v/>
      </c>
      <c r="I189" s="18">
        <v>18.0</v>
      </c>
      <c r="K189" s="125" t="str">
        <f t="shared" si="2"/>
        <v/>
      </c>
      <c r="L189" s="126">
        <f t="shared" si="3"/>
        <v>0</v>
      </c>
      <c r="M189" s="127" t="str">
        <f t="shared" si="4"/>
        <v>🔴 RED</v>
      </c>
    </row>
    <row r="190" ht="15.75" customHeight="1">
      <c r="H190" s="125" t="str">
        <f t="shared" si="5"/>
        <v/>
      </c>
      <c r="I190" s="18">
        <v>18.0</v>
      </c>
      <c r="K190" s="125" t="str">
        <f t="shared" si="2"/>
        <v/>
      </c>
      <c r="L190" s="126">
        <f t="shared" si="3"/>
        <v>0</v>
      </c>
      <c r="M190" s="127" t="str">
        <f t="shared" si="4"/>
        <v>🔴 RED</v>
      </c>
    </row>
    <row r="191" ht="15.75" customHeight="1">
      <c r="H191" s="125" t="str">
        <f t="shared" si="5"/>
        <v/>
      </c>
      <c r="I191" s="18">
        <v>18.0</v>
      </c>
      <c r="K191" s="125" t="str">
        <f t="shared" si="2"/>
        <v/>
      </c>
      <c r="L191" s="126">
        <f t="shared" si="3"/>
        <v>0</v>
      </c>
      <c r="M191" s="127" t="str">
        <f t="shared" si="4"/>
        <v>🔴 RED</v>
      </c>
    </row>
    <row r="192" ht="15.75" customHeight="1">
      <c r="H192" s="125" t="str">
        <f t="shared" si="5"/>
        <v/>
      </c>
      <c r="I192" s="18">
        <v>18.0</v>
      </c>
      <c r="K192" s="125" t="str">
        <f t="shared" si="2"/>
        <v/>
      </c>
      <c r="L192" s="126">
        <f t="shared" si="3"/>
        <v>0</v>
      </c>
      <c r="M192" s="127" t="str">
        <f t="shared" si="4"/>
        <v>🔴 RED</v>
      </c>
    </row>
    <row r="193" ht="15.75" customHeight="1">
      <c r="H193" s="125" t="str">
        <f t="shared" si="5"/>
        <v/>
      </c>
      <c r="I193" s="18">
        <v>18.0</v>
      </c>
      <c r="K193" s="125" t="str">
        <f t="shared" si="2"/>
        <v/>
      </c>
      <c r="L193" s="126">
        <f t="shared" si="3"/>
        <v>0</v>
      </c>
      <c r="M193" s="127" t="str">
        <f t="shared" si="4"/>
        <v>🔴 RED</v>
      </c>
    </row>
    <row r="194" ht="15.75" customHeight="1">
      <c r="H194" s="125" t="str">
        <f t="shared" si="5"/>
        <v/>
      </c>
      <c r="I194" s="18">
        <v>18.0</v>
      </c>
      <c r="K194" s="125" t="str">
        <f t="shared" si="2"/>
        <v/>
      </c>
      <c r="L194" s="126">
        <f t="shared" si="3"/>
        <v>0</v>
      </c>
      <c r="M194" s="127" t="str">
        <f t="shared" si="4"/>
        <v>🔴 RED</v>
      </c>
    </row>
    <row r="195" ht="15.75" customHeight="1">
      <c r="H195" s="125" t="str">
        <f t="shared" si="5"/>
        <v/>
      </c>
      <c r="I195" s="18">
        <v>18.0</v>
      </c>
      <c r="K195" s="125" t="str">
        <f t="shared" si="2"/>
        <v/>
      </c>
      <c r="L195" s="126">
        <f t="shared" si="3"/>
        <v>0</v>
      </c>
      <c r="M195" s="127" t="str">
        <f t="shared" si="4"/>
        <v>🔴 RED</v>
      </c>
    </row>
    <row r="196" ht="15.75" customHeight="1">
      <c r="H196" s="125" t="str">
        <f t="shared" si="5"/>
        <v/>
      </c>
      <c r="I196" s="18">
        <v>18.0</v>
      </c>
      <c r="K196" s="125" t="str">
        <f t="shared" si="2"/>
        <v/>
      </c>
      <c r="L196" s="126">
        <f t="shared" si="3"/>
        <v>0</v>
      </c>
      <c r="M196" s="127" t="str">
        <f t="shared" si="4"/>
        <v>🔴 RED</v>
      </c>
    </row>
    <row r="197" ht="15.75" customHeight="1">
      <c r="H197" s="125" t="str">
        <f t="shared" si="5"/>
        <v/>
      </c>
      <c r="I197" s="18">
        <v>18.0</v>
      </c>
      <c r="K197" s="125" t="str">
        <f t="shared" si="2"/>
        <v/>
      </c>
      <c r="L197" s="126">
        <f t="shared" si="3"/>
        <v>0</v>
      </c>
      <c r="M197" s="127" t="str">
        <f t="shared" si="4"/>
        <v>🔴 RED</v>
      </c>
    </row>
    <row r="198" ht="15.75" customHeight="1">
      <c r="H198" s="125" t="str">
        <f t="shared" si="5"/>
        <v/>
      </c>
      <c r="I198" s="18">
        <v>18.0</v>
      </c>
      <c r="K198" s="125" t="str">
        <f t="shared" si="2"/>
        <v/>
      </c>
      <c r="L198" s="126">
        <f t="shared" si="3"/>
        <v>0</v>
      </c>
      <c r="M198" s="127" t="str">
        <f t="shared" si="4"/>
        <v>🔴 RED</v>
      </c>
    </row>
    <row r="199" ht="15.75" customHeight="1">
      <c r="H199" s="125" t="str">
        <f t="shared" si="5"/>
        <v/>
      </c>
      <c r="I199" s="18">
        <v>18.0</v>
      </c>
      <c r="K199" s="125" t="str">
        <f t="shared" si="2"/>
        <v/>
      </c>
      <c r="L199" s="126">
        <f t="shared" si="3"/>
        <v>0</v>
      </c>
      <c r="M199" s="127" t="str">
        <f t="shared" si="4"/>
        <v>🔴 RED</v>
      </c>
    </row>
    <row r="200" ht="15.75" customHeight="1">
      <c r="H200" s="125" t="str">
        <f t="shared" si="5"/>
        <v/>
      </c>
      <c r="I200" s="18">
        <v>18.0</v>
      </c>
      <c r="K200" s="125" t="str">
        <f t="shared" si="2"/>
        <v/>
      </c>
      <c r="L200" s="126">
        <f t="shared" si="3"/>
        <v>0</v>
      </c>
      <c r="M200" s="127" t="str">
        <f t="shared" si="4"/>
        <v>🔴 RED</v>
      </c>
    </row>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M1"/>
    <mergeCell ref="A2:M2"/>
  </mergeCells>
  <conditionalFormatting sqref="L4:L200">
    <cfRule type="colorScale" priority="1">
      <colorScale>
        <cfvo type="formula" val="-0.2"/>
        <cfvo type="formula" val="0"/>
        <cfvo type="formula" val="0.3"/>
        <color rgb="FFC0392B"/>
        <color rgb="FFF39C12"/>
        <color rgb="FF27AE60"/>
      </colorScale>
    </cfRule>
  </conditionalFormatting>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80.86"/>
    <col customWidth="1" min="2" max="3" width="0.43"/>
    <col customWidth="1" min="4" max="4" width="1.71"/>
    <col customWidth="1" min="5" max="5" width="1.43"/>
    <col customWidth="1" min="6" max="6" width="1.71"/>
  </cols>
  <sheetData>
    <row r="20">
      <c r="A20" s="140" t="s">
        <v>325</v>
      </c>
    </row>
  </sheetData>
  <mergeCells count="1">
    <mergeCell ref="A20:A38"/>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4.43" defaultRowHeight="15.0"/>
  <cols>
    <col customWidth="1" min="1" max="1" width="6.0"/>
    <col customWidth="1" min="2" max="2" width="12.0"/>
    <col customWidth="1" min="3" max="3" width="20.0"/>
    <col customWidth="1" min="4" max="4" width="22.0"/>
    <col customWidth="1" min="5" max="5" width="14.0"/>
    <col customWidth="1" min="6" max="6" width="12.0"/>
    <col customWidth="1" min="7" max="14" width="14.0"/>
    <col customWidth="1" min="15" max="15" width="12.0"/>
    <col customWidth="1" min="16" max="16" width="22.0"/>
    <col customWidth="1" min="17" max="17" width="18.0"/>
    <col customWidth="1" min="18" max="18" width="12.0"/>
    <col customWidth="1" min="19" max="26" width="8.71"/>
  </cols>
  <sheetData>
    <row r="1" ht="31.5" customHeight="1">
      <c r="A1" s="141" t="s">
        <v>326</v>
      </c>
      <c r="B1" s="2"/>
      <c r="C1" s="2"/>
      <c r="D1" s="2"/>
      <c r="E1" s="2"/>
      <c r="F1" s="2"/>
      <c r="G1" s="2"/>
      <c r="H1" s="2"/>
      <c r="I1" s="2"/>
      <c r="J1" s="2"/>
      <c r="K1" s="2"/>
      <c r="L1" s="2"/>
      <c r="M1" s="2"/>
      <c r="N1" s="2"/>
      <c r="O1" s="2"/>
      <c r="P1" s="3"/>
    </row>
    <row r="2" ht="19.5" customHeight="1">
      <c r="A2" s="123" t="s">
        <v>327</v>
      </c>
      <c r="B2" s="2"/>
      <c r="C2" s="2"/>
      <c r="D2" s="2"/>
      <c r="E2" s="2"/>
      <c r="F2" s="2"/>
      <c r="G2" s="2"/>
      <c r="H2" s="2"/>
      <c r="I2" s="2"/>
      <c r="J2" s="2"/>
      <c r="K2" s="2"/>
      <c r="L2" s="2"/>
      <c r="M2" s="2"/>
      <c r="N2" s="2"/>
      <c r="O2" s="2"/>
      <c r="P2" s="3"/>
    </row>
    <row r="3" ht="48.0" customHeight="1">
      <c r="A3" s="29" t="s">
        <v>328</v>
      </c>
      <c r="B3" s="29" t="s">
        <v>329</v>
      </c>
      <c r="C3" s="29" t="s">
        <v>205</v>
      </c>
      <c r="D3" s="29" t="s">
        <v>330</v>
      </c>
      <c r="E3" s="29" t="s">
        <v>331</v>
      </c>
      <c r="F3" s="29" t="s">
        <v>332</v>
      </c>
      <c r="G3" s="29" t="s">
        <v>333</v>
      </c>
      <c r="H3" s="29" t="s">
        <v>334</v>
      </c>
      <c r="I3" s="29" t="s">
        <v>335</v>
      </c>
      <c r="J3" s="29" t="s">
        <v>336</v>
      </c>
      <c r="K3" s="29" t="s">
        <v>337</v>
      </c>
      <c r="L3" s="29" t="s">
        <v>338</v>
      </c>
      <c r="M3" s="29" t="s">
        <v>339</v>
      </c>
      <c r="N3" s="29" t="s">
        <v>340</v>
      </c>
      <c r="O3" s="29" t="s">
        <v>341</v>
      </c>
      <c r="P3" s="29" t="s">
        <v>342</v>
      </c>
      <c r="Q3" s="29" t="s">
        <v>343</v>
      </c>
      <c r="R3" s="29" t="s">
        <v>344</v>
      </c>
    </row>
    <row r="4">
      <c r="E4" s="74"/>
      <c r="M4" s="74"/>
      <c r="N4" s="142" t="str">
        <f t="shared" ref="N4:N200" si="1">IFERROR(AVERAGE(G4:K4),"")</f>
        <v/>
      </c>
      <c r="O4" s="74"/>
    </row>
    <row r="5">
      <c r="E5" s="74"/>
      <c r="M5" s="74"/>
      <c r="N5" s="142" t="str">
        <f t="shared" si="1"/>
        <v/>
      </c>
      <c r="O5" s="74"/>
    </row>
    <row r="6">
      <c r="E6" s="74"/>
      <c r="M6" s="74"/>
      <c r="N6" s="142" t="str">
        <f t="shared" si="1"/>
        <v/>
      </c>
      <c r="O6" s="74"/>
    </row>
    <row r="7">
      <c r="E7" s="74"/>
      <c r="M7" s="74"/>
      <c r="N7" s="142" t="str">
        <f t="shared" si="1"/>
        <v/>
      </c>
      <c r="O7" s="74"/>
    </row>
    <row r="8">
      <c r="E8" s="74"/>
      <c r="M8" s="74"/>
      <c r="N8" s="142" t="str">
        <f t="shared" si="1"/>
        <v/>
      </c>
      <c r="O8" s="74"/>
    </row>
    <row r="9">
      <c r="E9" s="74"/>
      <c r="M9" s="74"/>
      <c r="N9" s="142" t="str">
        <f t="shared" si="1"/>
        <v/>
      </c>
      <c r="O9" s="74"/>
    </row>
    <row r="10">
      <c r="E10" s="74"/>
      <c r="M10" s="74"/>
      <c r="N10" s="142" t="str">
        <f t="shared" si="1"/>
        <v/>
      </c>
      <c r="O10" s="74"/>
    </row>
    <row r="11">
      <c r="E11" s="74"/>
      <c r="M11" s="74"/>
      <c r="N11" s="142" t="str">
        <f t="shared" si="1"/>
        <v/>
      </c>
      <c r="O11" s="74"/>
    </row>
    <row r="12">
      <c r="E12" s="74"/>
      <c r="M12" s="74"/>
      <c r="N12" s="142" t="str">
        <f t="shared" si="1"/>
        <v/>
      </c>
      <c r="O12" s="74"/>
    </row>
    <row r="13">
      <c r="E13" s="74"/>
      <c r="M13" s="74"/>
      <c r="N13" s="142" t="str">
        <f t="shared" si="1"/>
        <v/>
      </c>
      <c r="O13" s="74"/>
    </row>
    <row r="14">
      <c r="E14" s="74"/>
      <c r="M14" s="74"/>
      <c r="N14" s="142" t="str">
        <f t="shared" si="1"/>
        <v/>
      </c>
      <c r="O14" s="74"/>
    </row>
    <row r="15">
      <c r="E15" s="74"/>
      <c r="M15" s="74"/>
      <c r="N15" s="142" t="str">
        <f t="shared" si="1"/>
        <v/>
      </c>
      <c r="O15" s="74"/>
    </row>
    <row r="16">
      <c r="E16" s="74"/>
      <c r="M16" s="74"/>
      <c r="N16" s="142" t="str">
        <f t="shared" si="1"/>
        <v/>
      </c>
      <c r="O16" s="74"/>
    </row>
    <row r="17">
      <c r="E17" s="74"/>
      <c r="M17" s="74"/>
      <c r="N17" s="142" t="str">
        <f t="shared" si="1"/>
        <v/>
      </c>
      <c r="O17" s="74"/>
    </row>
    <row r="18">
      <c r="E18" s="74"/>
      <c r="M18" s="74"/>
      <c r="N18" s="142" t="str">
        <f t="shared" si="1"/>
        <v/>
      </c>
      <c r="O18" s="74"/>
    </row>
    <row r="19">
      <c r="E19" s="74"/>
      <c r="M19" s="74"/>
      <c r="N19" s="142" t="str">
        <f t="shared" si="1"/>
        <v/>
      </c>
      <c r="O19" s="74"/>
    </row>
    <row r="20">
      <c r="E20" s="74"/>
      <c r="M20" s="74"/>
      <c r="N20" s="142" t="str">
        <f t="shared" si="1"/>
        <v/>
      </c>
      <c r="O20" s="74"/>
    </row>
    <row r="21" ht="15.75" customHeight="1">
      <c r="E21" s="74"/>
      <c r="M21" s="74"/>
      <c r="N21" s="142" t="str">
        <f t="shared" si="1"/>
        <v/>
      </c>
      <c r="O21" s="74"/>
    </row>
    <row r="22" ht="15.75" customHeight="1">
      <c r="E22" s="74"/>
      <c r="M22" s="74"/>
      <c r="N22" s="142" t="str">
        <f t="shared" si="1"/>
        <v/>
      </c>
      <c r="O22" s="74"/>
    </row>
    <row r="23" ht="15.75" customHeight="1">
      <c r="E23" s="74"/>
      <c r="M23" s="74"/>
      <c r="N23" s="142" t="str">
        <f t="shared" si="1"/>
        <v/>
      </c>
      <c r="O23" s="74"/>
    </row>
    <row r="24" ht="15.75" customHeight="1">
      <c r="E24" s="74"/>
      <c r="M24" s="74"/>
      <c r="N24" s="142" t="str">
        <f t="shared" si="1"/>
        <v/>
      </c>
      <c r="O24" s="74"/>
    </row>
    <row r="25" ht="15.75" customHeight="1">
      <c r="E25" s="74"/>
      <c r="M25" s="74"/>
      <c r="N25" s="142" t="str">
        <f t="shared" si="1"/>
        <v/>
      </c>
      <c r="O25" s="74"/>
    </row>
    <row r="26" ht="15.75" customHeight="1">
      <c r="E26" s="74"/>
      <c r="M26" s="74"/>
      <c r="N26" s="142" t="str">
        <f t="shared" si="1"/>
        <v/>
      </c>
      <c r="O26" s="74"/>
    </row>
    <row r="27" ht="15.75" customHeight="1">
      <c r="E27" s="74"/>
      <c r="M27" s="74"/>
      <c r="N27" s="142" t="str">
        <f t="shared" si="1"/>
        <v/>
      </c>
      <c r="O27" s="74"/>
    </row>
    <row r="28" ht="15.75" customHeight="1">
      <c r="E28" s="74"/>
      <c r="M28" s="74"/>
      <c r="N28" s="142" t="str">
        <f t="shared" si="1"/>
        <v/>
      </c>
      <c r="O28" s="74"/>
    </row>
    <row r="29" ht="15.75" customHeight="1">
      <c r="E29" s="74"/>
      <c r="M29" s="74"/>
      <c r="N29" s="142" t="str">
        <f t="shared" si="1"/>
        <v/>
      </c>
      <c r="O29" s="74"/>
    </row>
    <row r="30" ht="15.75" customHeight="1">
      <c r="E30" s="74"/>
      <c r="M30" s="74"/>
      <c r="N30" s="142" t="str">
        <f t="shared" si="1"/>
        <v/>
      </c>
      <c r="O30" s="74"/>
    </row>
    <row r="31" ht="15.75" customHeight="1">
      <c r="E31" s="74"/>
      <c r="M31" s="74"/>
      <c r="N31" s="142" t="str">
        <f t="shared" si="1"/>
        <v/>
      </c>
      <c r="O31" s="74"/>
    </row>
    <row r="32" ht="15.75" customHeight="1">
      <c r="E32" s="74"/>
      <c r="M32" s="74"/>
      <c r="N32" s="142" t="str">
        <f t="shared" si="1"/>
        <v/>
      </c>
      <c r="O32" s="74"/>
    </row>
    <row r="33" ht="15.75" customHeight="1">
      <c r="E33" s="74"/>
      <c r="M33" s="74"/>
      <c r="N33" s="142" t="str">
        <f t="shared" si="1"/>
        <v/>
      </c>
      <c r="O33" s="74"/>
    </row>
    <row r="34" ht="15.75" customHeight="1">
      <c r="E34" s="74"/>
      <c r="M34" s="74"/>
      <c r="N34" s="142" t="str">
        <f t="shared" si="1"/>
        <v/>
      </c>
      <c r="O34" s="74"/>
    </row>
    <row r="35" ht="15.75" customHeight="1">
      <c r="E35" s="74"/>
      <c r="M35" s="74"/>
      <c r="N35" s="142" t="str">
        <f t="shared" si="1"/>
        <v/>
      </c>
      <c r="O35" s="74"/>
    </row>
    <row r="36" ht="15.75" customHeight="1">
      <c r="E36" s="74"/>
      <c r="M36" s="74"/>
      <c r="N36" s="142" t="str">
        <f t="shared" si="1"/>
        <v/>
      </c>
      <c r="O36" s="74"/>
    </row>
    <row r="37" ht="15.75" customHeight="1">
      <c r="E37" s="74"/>
      <c r="M37" s="74"/>
      <c r="N37" s="142" t="str">
        <f t="shared" si="1"/>
        <v/>
      </c>
      <c r="O37" s="74"/>
    </row>
    <row r="38" ht="15.75" customHeight="1">
      <c r="E38" s="74"/>
      <c r="M38" s="74"/>
      <c r="N38" s="142" t="str">
        <f t="shared" si="1"/>
        <v/>
      </c>
      <c r="O38" s="74"/>
    </row>
    <row r="39" ht="15.75" customHeight="1">
      <c r="E39" s="74"/>
      <c r="M39" s="74"/>
      <c r="N39" s="142" t="str">
        <f t="shared" si="1"/>
        <v/>
      </c>
      <c r="O39" s="74"/>
    </row>
    <row r="40" ht="15.75" customHeight="1">
      <c r="E40" s="74"/>
      <c r="M40" s="74"/>
      <c r="N40" s="142" t="str">
        <f t="shared" si="1"/>
        <v/>
      </c>
      <c r="O40" s="74"/>
    </row>
    <row r="41" ht="15.75" customHeight="1">
      <c r="E41" s="74"/>
      <c r="M41" s="74"/>
      <c r="N41" s="142" t="str">
        <f t="shared" si="1"/>
        <v/>
      </c>
      <c r="O41" s="74"/>
    </row>
    <row r="42" ht="15.75" customHeight="1">
      <c r="E42" s="74"/>
      <c r="M42" s="74"/>
      <c r="N42" s="142" t="str">
        <f t="shared" si="1"/>
        <v/>
      </c>
      <c r="O42" s="74"/>
    </row>
    <row r="43" ht="15.75" customHeight="1">
      <c r="E43" s="74"/>
      <c r="M43" s="74"/>
      <c r="N43" s="142" t="str">
        <f t="shared" si="1"/>
        <v/>
      </c>
      <c r="O43" s="74"/>
    </row>
    <row r="44" ht="15.75" customHeight="1">
      <c r="E44" s="74"/>
      <c r="M44" s="74"/>
      <c r="N44" s="142" t="str">
        <f t="shared" si="1"/>
        <v/>
      </c>
      <c r="O44" s="74"/>
    </row>
    <row r="45" ht="15.75" customHeight="1">
      <c r="E45" s="74"/>
      <c r="M45" s="74"/>
      <c r="N45" s="142" t="str">
        <f t="shared" si="1"/>
        <v/>
      </c>
      <c r="O45" s="74"/>
    </row>
    <row r="46" ht="15.75" customHeight="1">
      <c r="E46" s="74"/>
      <c r="M46" s="74"/>
      <c r="N46" s="142" t="str">
        <f t="shared" si="1"/>
        <v/>
      </c>
      <c r="O46" s="74"/>
    </row>
    <row r="47" ht="15.75" customHeight="1">
      <c r="E47" s="74"/>
      <c r="M47" s="74"/>
      <c r="N47" s="142" t="str">
        <f t="shared" si="1"/>
        <v/>
      </c>
      <c r="O47" s="74"/>
    </row>
    <row r="48" ht="15.75" customHeight="1">
      <c r="E48" s="74"/>
      <c r="M48" s="74"/>
      <c r="N48" s="142" t="str">
        <f t="shared" si="1"/>
        <v/>
      </c>
      <c r="O48" s="74"/>
    </row>
    <row r="49" ht="15.75" customHeight="1">
      <c r="E49" s="74"/>
      <c r="M49" s="74"/>
      <c r="N49" s="142" t="str">
        <f t="shared" si="1"/>
        <v/>
      </c>
      <c r="O49" s="74"/>
    </row>
    <row r="50" ht="15.75" customHeight="1">
      <c r="E50" s="74"/>
      <c r="M50" s="74"/>
      <c r="N50" s="142" t="str">
        <f t="shared" si="1"/>
        <v/>
      </c>
      <c r="O50" s="74"/>
    </row>
    <row r="51" ht="15.75" customHeight="1">
      <c r="E51" s="74"/>
      <c r="M51" s="74"/>
      <c r="N51" s="142" t="str">
        <f t="shared" si="1"/>
        <v/>
      </c>
      <c r="O51" s="74"/>
    </row>
    <row r="52" ht="15.75" customHeight="1">
      <c r="E52" s="74"/>
      <c r="M52" s="74"/>
      <c r="N52" s="142" t="str">
        <f t="shared" si="1"/>
        <v/>
      </c>
      <c r="O52" s="74"/>
    </row>
    <row r="53" ht="15.75" customHeight="1">
      <c r="E53" s="74"/>
      <c r="M53" s="74"/>
      <c r="N53" s="142" t="str">
        <f t="shared" si="1"/>
        <v/>
      </c>
      <c r="O53" s="74"/>
    </row>
    <row r="54" ht="15.75" customHeight="1">
      <c r="E54" s="74"/>
      <c r="M54" s="74"/>
      <c r="N54" s="142" t="str">
        <f t="shared" si="1"/>
        <v/>
      </c>
      <c r="O54" s="74"/>
    </row>
    <row r="55" ht="15.75" customHeight="1">
      <c r="E55" s="74"/>
      <c r="M55" s="74"/>
      <c r="N55" s="142" t="str">
        <f t="shared" si="1"/>
        <v/>
      </c>
      <c r="O55" s="74"/>
    </row>
    <row r="56" ht="15.75" customHeight="1">
      <c r="E56" s="74"/>
      <c r="M56" s="74"/>
      <c r="N56" s="142" t="str">
        <f t="shared" si="1"/>
        <v/>
      </c>
      <c r="O56" s="74"/>
    </row>
    <row r="57" ht="15.75" customHeight="1">
      <c r="E57" s="74"/>
      <c r="M57" s="74"/>
      <c r="N57" s="142" t="str">
        <f t="shared" si="1"/>
        <v/>
      </c>
      <c r="O57" s="74"/>
    </row>
    <row r="58" ht="15.75" customHeight="1">
      <c r="E58" s="74"/>
      <c r="M58" s="74"/>
      <c r="N58" s="142" t="str">
        <f t="shared" si="1"/>
        <v/>
      </c>
      <c r="O58" s="74"/>
    </row>
    <row r="59" ht="15.75" customHeight="1">
      <c r="E59" s="74"/>
      <c r="M59" s="74"/>
      <c r="N59" s="142" t="str">
        <f t="shared" si="1"/>
        <v/>
      </c>
      <c r="O59" s="74"/>
    </row>
    <row r="60" ht="15.75" customHeight="1">
      <c r="E60" s="74"/>
      <c r="M60" s="74"/>
      <c r="N60" s="142" t="str">
        <f t="shared" si="1"/>
        <v/>
      </c>
      <c r="O60" s="74"/>
    </row>
    <row r="61" ht="15.75" customHeight="1">
      <c r="E61" s="74"/>
      <c r="M61" s="74"/>
      <c r="N61" s="142" t="str">
        <f t="shared" si="1"/>
        <v/>
      </c>
      <c r="O61" s="74"/>
    </row>
    <row r="62" ht="15.75" customHeight="1">
      <c r="E62" s="74"/>
      <c r="M62" s="74"/>
      <c r="N62" s="142" t="str">
        <f t="shared" si="1"/>
        <v/>
      </c>
      <c r="O62" s="74"/>
    </row>
    <row r="63" ht="15.75" customHeight="1">
      <c r="E63" s="74"/>
      <c r="M63" s="74"/>
      <c r="N63" s="142" t="str">
        <f t="shared" si="1"/>
        <v/>
      </c>
      <c r="O63" s="74"/>
    </row>
    <row r="64" ht="15.75" customHeight="1">
      <c r="E64" s="74"/>
      <c r="M64" s="74"/>
      <c r="N64" s="142" t="str">
        <f t="shared" si="1"/>
        <v/>
      </c>
      <c r="O64" s="74"/>
    </row>
    <row r="65" ht="15.75" customHeight="1">
      <c r="E65" s="74"/>
      <c r="M65" s="74"/>
      <c r="N65" s="142" t="str">
        <f t="shared" si="1"/>
        <v/>
      </c>
      <c r="O65" s="74"/>
    </row>
    <row r="66" ht="15.75" customHeight="1">
      <c r="E66" s="74"/>
      <c r="M66" s="74"/>
      <c r="N66" s="142" t="str">
        <f t="shared" si="1"/>
        <v/>
      </c>
      <c r="O66" s="74"/>
    </row>
    <row r="67" ht="15.75" customHeight="1">
      <c r="E67" s="74"/>
      <c r="M67" s="74"/>
      <c r="N67" s="142" t="str">
        <f t="shared" si="1"/>
        <v/>
      </c>
      <c r="O67" s="74"/>
    </row>
    <row r="68" ht="15.75" customHeight="1">
      <c r="E68" s="74"/>
      <c r="M68" s="74"/>
      <c r="N68" s="142" t="str">
        <f t="shared" si="1"/>
        <v/>
      </c>
      <c r="O68" s="74"/>
    </row>
    <row r="69" ht="15.75" customHeight="1">
      <c r="E69" s="74"/>
      <c r="M69" s="74"/>
      <c r="N69" s="142" t="str">
        <f t="shared" si="1"/>
        <v/>
      </c>
      <c r="O69" s="74"/>
    </row>
    <row r="70" ht="15.75" customHeight="1">
      <c r="E70" s="74"/>
      <c r="M70" s="74"/>
      <c r="N70" s="142" t="str">
        <f t="shared" si="1"/>
        <v/>
      </c>
      <c r="O70" s="74"/>
    </row>
    <row r="71" ht="15.75" customHeight="1">
      <c r="E71" s="74"/>
      <c r="M71" s="74"/>
      <c r="N71" s="142" t="str">
        <f t="shared" si="1"/>
        <v/>
      </c>
      <c r="O71" s="74"/>
    </row>
    <row r="72" ht="15.75" customHeight="1">
      <c r="E72" s="74"/>
      <c r="M72" s="74"/>
      <c r="N72" s="142" t="str">
        <f t="shared" si="1"/>
        <v/>
      </c>
      <c r="O72" s="74"/>
    </row>
    <row r="73" ht="15.75" customHeight="1">
      <c r="E73" s="74"/>
      <c r="M73" s="74"/>
      <c r="N73" s="142" t="str">
        <f t="shared" si="1"/>
        <v/>
      </c>
      <c r="O73" s="74"/>
    </row>
    <row r="74" ht="15.75" customHeight="1">
      <c r="E74" s="74"/>
      <c r="M74" s="74"/>
      <c r="N74" s="142" t="str">
        <f t="shared" si="1"/>
        <v/>
      </c>
      <c r="O74" s="74"/>
    </row>
    <row r="75" ht="15.75" customHeight="1">
      <c r="E75" s="74"/>
      <c r="M75" s="74"/>
      <c r="N75" s="142" t="str">
        <f t="shared" si="1"/>
        <v/>
      </c>
      <c r="O75" s="74"/>
    </row>
    <row r="76" ht="15.75" customHeight="1">
      <c r="E76" s="74"/>
      <c r="M76" s="74"/>
      <c r="N76" s="142" t="str">
        <f t="shared" si="1"/>
        <v/>
      </c>
      <c r="O76" s="74"/>
    </row>
    <row r="77" ht="15.75" customHeight="1">
      <c r="E77" s="74"/>
      <c r="M77" s="74"/>
      <c r="N77" s="142" t="str">
        <f t="shared" si="1"/>
        <v/>
      </c>
      <c r="O77" s="74"/>
    </row>
    <row r="78" ht="15.75" customHeight="1">
      <c r="E78" s="74"/>
      <c r="M78" s="74"/>
      <c r="N78" s="142" t="str">
        <f t="shared" si="1"/>
        <v/>
      </c>
      <c r="O78" s="74"/>
    </row>
    <row r="79" ht="15.75" customHeight="1">
      <c r="E79" s="74"/>
      <c r="M79" s="74"/>
      <c r="N79" s="142" t="str">
        <f t="shared" si="1"/>
        <v/>
      </c>
      <c r="O79" s="74"/>
    </row>
    <row r="80" ht="15.75" customHeight="1">
      <c r="E80" s="74"/>
      <c r="M80" s="74"/>
      <c r="N80" s="142" t="str">
        <f t="shared" si="1"/>
        <v/>
      </c>
      <c r="O80" s="74"/>
    </row>
    <row r="81" ht="15.75" customHeight="1">
      <c r="E81" s="74"/>
      <c r="M81" s="74"/>
      <c r="N81" s="142" t="str">
        <f t="shared" si="1"/>
        <v/>
      </c>
      <c r="O81" s="74"/>
    </row>
    <row r="82" ht="15.75" customHeight="1">
      <c r="E82" s="74"/>
      <c r="M82" s="74"/>
      <c r="N82" s="142" t="str">
        <f t="shared" si="1"/>
        <v/>
      </c>
      <c r="O82" s="74"/>
    </row>
    <row r="83" ht="15.75" customHeight="1">
      <c r="E83" s="74"/>
      <c r="M83" s="74"/>
      <c r="N83" s="142" t="str">
        <f t="shared" si="1"/>
        <v/>
      </c>
      <c r="O83" s="74"/>
    </row>
    <row r="84" ht="15.75" customHeight="1">
      <c r="E84" s="74"/>
      <c r="M84" s="74"/>
      <c r="N84" s="142" t="str">
        <f t="shared" si="1"/>
        <v/>
      </c>
      <c r="O84" s="74"/>
    </row>
    <row r="85" ht="15.75" customHeight="1">
      <c r="E85" s="74"/>
      <c r="M85" s="74"/>
      <c r="N85" s="142" t="str">
        <f t="shared" si="1"/>
        <v/>
      </c>
      <c r="O85" s="74"/>
    </row>
    <row r="86" ht="15.75" customHeight="1">
      <c r="E86" s="74"/>
      <c r="M86" s="74"/>
      <c r="N86" s="142" t="str">
        <f t="shared" si="1"/>
        <v/>
      </c>
      <c r="O86" s="74"/>
    </row>
    <row r="87" ht="15.75" customHeight="1">
      <c r="E87" s="74"/>
      <c r="M87" s="74"/>
      <c r="N87" s="142" t="str">
        <f t="shared" si="1"/>
        <v/>
      </c>
      <c r="O87" s="74"/>
    </row>
    <row r="88" ht="15.75" customHeight="1">
      <c r="E88" s="74"/>
      <c r="M88" s="74"/>
      <c r="N88" s="142" t="str">
        <f t="shared" si="1"/>
        <v/>
      </c>
      <c r="O88" s="74"/>
    </row>
    <row r="89" ht="15.75" customHeight="1">
      <c r="E89" s="74"/>
      <c r="M89" s="74"/>
      <c r="N89" s="142" t="str">
        <f t="shared" si="1"/>
        <v/>
      </c>
      <c r="O89" s="74"/>
    </row>
    <row r="90" ht="15.75" customHeight="1">
      <c r="E90" s="74"/>
      <c r="M90" s="74"/>
      <c r="N90" s="142" t="str">
        <f t="shared" si="1"/>
        <v/>
      </c>
      <c r="O90" s="74"/>
    </row>
    <row r="91" ht="15.75" customHeight="1">
      <c r="E91" s="74"/>
      <c r="M91" s="74"/>
      <c r="N91" s="142" t="str">
        <f t="shared" si="1"/>
        <v/>
      </c>
      <c r="O91" s="74"/>
    </row>
    <row r="92" ht="15.75" customHeight="1">
      <c r="E92" s="74"/>
      <c r="M92" s="74"/>
      <c r="N92" s="142" t="str">
        <f t="shared" si="1"/>
        <v/>
      </c>
      <c r="O92" s="74"/>
    </row>
    <row r="93" ht="15.75" customHeight="1">
      <c r="E93" s="74"/>
      <c r="M93" s="74"/>
      <c r="N93" s="142" t="str">
        <f t="shared" si="1"/>
        <v/>
      </c>
      <c r="O93" s="74"/>
    </row>
    <row r="94" ht="15.75" customHeight="1">
      <c r="E94" s="74"/>
      <c r="M94" s="74"/>
      <c r="N94" s="142" t="str">
        <f t="shared" si="1"/>
        <v/>
      </c>
      <c r="O94" s="74"/>
    </row>
    <row r="95" ht="15.75" customHeight="1">
      <c r="E95" s="74"/>
      <c r="M95" s="74"/>
      <c r="N95" s="142" t="str">
        <f t="shared" si="1"/>
        <v/>
      </c>
      <c r="O95" s="74"/>
    </row>
    <row r="96" ht="15.75" customHeight="1">
      <c r="E96" s="74"/>
      <c r="M96" s="74"/>
      <c r="N96" s="142" t="str">
        <f t="shared" si="1"/>
        <v/>
      </c>
      <c r="O96" s="74"/>
    </row>
    <row r="97" ht="15.75" customHeight="1">
      <c r="E97" s="74"/>
      <c r="M97" s="74"/>
      <c r="N97" s="142" t="str">
        <f t="shared" si="1"/>
        <v/>
      </c>
      <c r="O97" s="74"/>
    </row>
    <row r="98" ht="15.75" customHeight="1">
      <c r="E98" s="74"/>
      <c r="M98" s="74"/>
      <c r="N98" s="142" t="str">
        <f t="shared" si="1"/>
        <v/>
      </c>
      <c r="O98" s="74"/>
    </row>
    <row r="99" ht="15.75" customHeight="1">
      <c r="E99" s="74"/>
      <c r="M99" s="74"/>
      <c r="N99" s="142" t="str">
        <f t="shared" si="1"/>
        <v/>
      </c>
      <c r="O99" s="74"/>
    </row>
    <row r="100" ht="15.75" customHeight="1">
      <c r="E100" s="74"/>
      <c r="M100" s="74"/>
      <c r="N100" s="142" t="str">
        <f t="shared" si="1"/>
        <v/>
      </c>
      <c r="O100" s="74"/>
    </row>
    <row r="101" ht="15.75" customHeight="1">
      <c r="E101" s="74"/>
      <c r="M101" s="74"/>
      <c r="N101" s="142" t="str">
        <f t="shared" si="1"/>
        <v/>
      </c>
      <c r="O101" s="74"/>
    </row>
    <row r="102" ht="15.75" customHeight="1">
      <c r="E102" s="74"/>
      <c r="M102" s="74"/>
      <c r="N102" s="142" t="str">
        <f t="shared" si="1"/>
        <v/>
      </c>
      <c r="O102" s="74"/>
    </row>
    <row r="103" ht="15.75" customHeight="1">
      <c r="E103" s="74"/>
      <c r="M103" s="74"/>
      <c r="N103" s="142" t="str">
        <f t="shared" si="1"/>
        <v/>
      </c>
      <c r="O103" s="74"/>
    </row>
    <row r="104" ht="15.75" customHeight="1">
      <c r="E104" s="74"/>
      <c r="M104" s="74"/>
      <c r="N104" s="142" t="str">
        <f t="shared" si="1"/>
        <v/>
      </c>
      <c r="O104" s="74"/>
    </row>
    <row r="105" ht="15.75" customHeight="1">
      <c r="E105" s="74"/>
      <c r="M105" s="74"/>
      <c r="N105" s="142" t="str">
        <f t="shared" si="1"/>
        <v/>
      </c>
      <c r="O105" s="74"/>
    </row>
    <row r="106" ht="15.75" customHeight="1">
      <c r="E106" s="74"/>
      <c r="M106" s="74"/>
      <c r="N106" s="142" t="str">
        <f t="shared" si="1"/>
        <v/>
      </c>
      <c r="O106" s="74"/>
    </row>
    <row r="107" ht="15.75" customHeight="1">
      <c r="E107" s="74"/>
      <c r="M107" s="74"/>
      <c r="N107" s="142" t="str">
        <f t="shared" si="1"/>
        <v/>
      </c>
      <c r="O107" s="74"/>
    </row>
    <row r="108" ht="15.75" customHeight="1">
      <c r="E108" s="74"/>
      <c r="M108" s="74"/>
      <c r="N108" s="142" t="str">
        <f t="shared" si="1"/>
        <v/>
      </c>
      <c r="O108" s="74"/>
    </row>
    <row r="109" ht="15.75" customHeight="1">
      <c r="E109" s="74"/>
      <c r="M109" s="74"/>
      <c r="N109" s="142" t="str">
        <f t="shared" si="1"/>
        <v/>
      </c>
      <c r="O109" s="74"/>
    </row>
    <row r="110" ht="15.75" customHeight="1">
      <c r="E110" s="74"/>
      <c r="M110" s="74"/>
      <c r="N110" s="142" t="str">
        <f t="shared" si="1"/>
        <v/>
      </c>
      <c r="O110" s="74"/>
    </row>
    <row r="111" ht="15.75" customHeight="1">
      <c r="E111" s="74"/>
      <c r="M111" s="74"/>
      <c r="N111" s="142" t="str">
        <f t="shared" si="1"/>
        <v/>
      </c>
      <c r="O111" s="74"/>
    </row>
    <row r="112" ht="15.75" customHeight="1">
      <c r="E112" s="74"/>
      <c r="M112" s="74"/>
      <c r="N112" s="142" t="str">
        <f t="shared" si="1"/>
        <v/>
      </c>
      <c r="O112" s="74"/>
    </row>
    <row r="113" ht="15.75" customHeight="1">
      <c r="E113" s="74"/>
      <c r="M113" s="74"/>
      <c r="N113" s="142" t="str">
        <f t="shared" si="1"/>
        <v/>
      </c>
      <c r="O113" s="74"/>
    </row>
    <row r="114" ht="15.75" customHeight="1">
      <c r="E114" s="74"/>
      <c r="M114" s="74"/>
      <c r="N114" s="142" t="str">
        <f t="shared" si="1"/>
        <v/>
      </c>
      <c r="O114" s="74"/>
    </row>
    <row r="115" ht="15.75" customHeight="1">
      <c r="E115" s="74"/>
      <c r="M115" s="74"/>
      <c r="N115" s="142" t="str">
        <f t="shared" si="1"/>
        <v/>
      </c>
      <c r="O115" s="74"/>
    </row>
    <row r="116" ht="15.75" customHeight="1">
      <c r="E116" s="74"/>
      <c r="M116" s="74"/>
      <c r="N116" s="142" t="str">
        <f t="shared" si="1"/>
        <v/>
      </c>
      <c r="O116" s="74"/>
    </row>
    <row r="117" ht="15.75" customHeight="1">
      <c r="E117" s="74"/>
      <c r="M117" s="74"/>
      <c r="N117" s="142" t="str">
        <f t="shared" si="1"/>
        <v/>
      </c>
      <c r="O117" s="74"/>
    </row>
    <row r="118" ht="15.75" customHeight="1">
      <c r="E118" s="74"/>
      <c r="M118" s="74"/>
      <c r="N118" s="142" t="str">
        <f t="shared" si="1"/>
        <v/>
      </c>
      <c r="O118" s="74"/>
    </row>
    <row r="119" ht="15.75" customHeight="1">
      <c r="E119" s="74"/>
      <c r="M119" s="74"/>
      <c r="N119" s="142" t="str">
        <f t="shared" si="1"/>
        <v/>
      </c>
      <c r="O119" s="74"/>
    </row>
    <row r="120" ht="15.75" customHeight="1">
      <c r="E120" s="74"/>
      <c r="M120" s="74"/>
      <c r="N120" s="142" t="str">
        <f t="shared" si="1"/>
        <v/>
      </c>
      <c r="O120" s="74"/>
    </row>
    <row r="121" ht="15.75" customHeight="1">
      <c r="E121" s="74"/>
      <c r="M121" s="74"/>
      <c r="N121" s="142" t="str">
        <f t="shared" si="1"/>
        <v/>
      </c>
      <c r="O121" s="74"/>
    </row>
    <row r="122" ht="15.75" customHeight="1">
      <c r="E122" s="74"/>
      <c r="M122" s="74"/>
      <c r="N122" s="142" t="str">
        <f t="shared" si="1"/>
        <v/>
      </c>
      <c r="O122" s="74"/>
    </row>
    <row r="123" ht="15.75" customHeight="1">
      <c r="E123" s="74"/>
      <c r="M123" s="74"/>
      <c r="N123" s="142" t="str">
        <f t="shared" si="1"/>
        <v/>
      </c>
      <c r="O123" s="74"/>
    </row>
    <row r="124" ht="15.75" customHeight="1">
      <c r="E124" s="74"/>
      <c r="M124" s="74"/>
      <c r="N124" s="142" t="str">
        <f t="shared" si="1"/>
        <v/>
      </c>
      <c r="O124" s="74"/>
    </row>
    <row r="125" ht="15.75" customHeight="1">
      <c r="E125" s="74"/>
      <c r="M125" s="74"/>
      <c r="N125" s="142" t="str">
        <f t="shared" si="1"/>
        <v/>
      </c>
      <c r="O125" s="74"/>
    </row>
    <row r="126" ht="15.75" customHeight="1">
      <c r="E126" s="74"/>
      <c r="M126" s="74"/>
      <c r="N126" s="142" t="str">
        <f t="shared" si="1"/>
        <v/>
      </c>
      <c r="O126" s="74"/>
    </row>
    <row r="127" ht="15.75" customHeight="1">
      <c r="E127" s="74"/>
      <c r="M127" s="74"/>
      <c r="N127" s="142" t="str">
        <f t="shared" si="1"/>
        <v/>
      </c>
      <c r="O127" s="74"/>
    </row>
    <row r="128" ht="15.75" customHeight="1">
      <c r="E128" s="74"/>
      <c r="M128" s="74"/>
      <c r="N128" s="142" t="str">
        <f t="shared" si="1"/>
        <v/>
      </c>
      <c r="O128" s="74"/>
    </row>
    <row r="129" ht="15.75" customHeight="1">
      <c r="E129" s="74"/>
      <c r="M129" s="74"/>
      <c r="N129" s="142" t="str">
        <f t="shared" si="1"/>
        <v/>
      </c>
      <c r="O129" s="74"/>
    </row>
    <row r="130" ht="15.75" customHeight="1">
      <c r="E130" s="74"/>
      <c r="M130" s="74"/>
      <c r="N130" s="142" t="str">
        <f t="shared" si="1"/>
        <v/>
      </c>
      <c r="O130" s="74"/>
    </row>
    <row r="131" ht="15.75" customHeight="1">
      <c r="E131" s="74"/>
      <c r="M131" s="74"/>
      <c r="N131" s="142" t="str">
        <f t="shared" si="1"/>
        <v/>
      </c>
      <c r="O131" s="74"/>
    </row>
    <row r="132" ht="15.75" customHeight="1">
      <c r="E132" s="74"/>
      <c r="M132" s="74"/>
      <c r="N132" s="142" t="str">
        <f t="shared" si="1"/>
        <v/>
      </c>
      <c r="O132" s="74"/>
    </row>
    <row r="133" ht="15.75" customHeight="1">
      <c r="E133" s="74"/>
      <c r="M133" s="74"/>
      <c r="N133" s="142" t="str">
        <f t="shared" si="1"/>
        <v/>
      </c>
      <c r="O133" s="74"/>
    </row>
    <row r="134" ht="15.75" customHeight="1">
      <c r="E134" s="74"/>
      <c r="M134" s="74"/>
      <c r="N134" s="142" t="str">
        <f t="shared" si="1"/>
        <v/>
      </c>
      <c r="O134" s="74"/>
    </row>
    <row r="135" ht="15.75" customHeight="1">
      <c r="E135" s="74"/>
      <c r="M135" s="74"/>
      <c r="N135" s="142" t="str">
        <f t="shared" si="1"/>
        <v/>
      </c>
      <c r="O135" s="74"/>
    </row>
    <row r="136" ht="15.75" customHeight="1">
      <c r="E136" s="74"/>
      <c r="M136" s="74"/>
      <c r="N136" s="142" t="str">
        <f t="shared" si="1"/>
        <v/>
      </c>
      <c r="O136" s="74"/>
    </row>
    <row r="137" ht="15.75" customHeight="1">
      <c r="E137" s="74"/>
      <c r="M137" s="74"/>
      <c r="N137" s="142" t="str">
        <f t="shared" si="1"/>
        <v/>
      </c>
      <c r="O137" s="74"/>
    </row>
    <row r="138" ht="15.75" customHeight="1">
      <c r="E138" s="74"/>
      <c r="M138" s="74"/>
      <c r="N138" s="142" t="str">
        <f t="shared" si="1"/>
        <v/>
      </c>
      <c r="O138" s="74"/>
    </row>
    <row r="139" ht="15.75" customHeight="1">
      <c r="E139" s="74"/>
      <c r="M139" s="74"/>
      <c r="N139" s="142" t="str">
        <f t="shared" si="1"/>
        <v/>
      </c>
      <c r="O139" s="74"/>
    </row>
    <row r="140" ht="15.75" customHeight="1">
      <c r="E140" s="74"/>
      <c r="M140" s="74"/>
      <c r="N140" s="142" t="str">
        <f t="shared" si="1"/>
        <v/>
      </c>
      <c r="O140" s="74"/>
    </row>
    <row r="141" ht="15.75" customHeight="1">
      <c r="E141" s="74"/>
      <c r="M141" s="74"/>
      <c r="N141" s="142" t="str">
        <f t="shared" si="1"/>
        <v/>
      </c>
      <c r="O141" s="74"/>
    </row>
    <row r="142" ht="15.75" customHeight="1">
      <c r="E142" s="74"/>
      <c r="M142" s="74"/>
      <c r="N142" s="142" t="str">
        <f t="shared" si="1"/>
        <v/>
      </c>
      <c r="O142" s="74"/>
    </row>
    <row r="143" ht="15.75" customHeight="1">
      <c r="E143" s="74"/>
      <c r="M143" s="74"/>
      <c r="N143" s="142" t="str">
        <f t="shared" si="1"/>
        <v/>
      </c>
      <c r="O143" s="74"/>
    </row>
    <row r="144" ht="15.75" customHeight="1">
      <c r="E144" s="74"/>
      <c r="M144" s="74"/>
      <c r="N144" s="142" t="str">
        <f t="shared" si="1"/>
        <v/>
      </c>
      <c r="O144" s="74"/>
    </row>
    <row r="145" ht="15.75" customHeight="1">
      <c r="E145" s="74"/>
      <c r="M145" s="74"/>
      <c r="N145" s="142" t="str">
        <f t="shared" si="1"/>
        <v/>
      </c>
      <c r="O145" s="74"/>
    </row>
    <row r="146" ht="15.75" customHeight="1">
      <c r="E146" s="74"/>
      <c r="M146" s="74"/>
      <c r="N146" s="142" t="str">
        <f t="shared" si="1"/>
        <v/>
      </c>
      <c r="O146" s="74"/>
    </row>
    <row r="147" ht="15.75" customHeight="1">
      <c r="E147" s="74"/>
      <c r="M147" s="74"/>
      <c r="N147" s="142" t="str">
        <f t="shared" si="1"/>
        <v/>
      </c>
      <c r="O147" s="74"/>
    </row>
    <row r="148" ht="15.75" customHeight="1">
      <c r="E148" s="74"/>
      <c r="M148" s="74"/>
      <c r="N148" s="142" t="str">
        <f t="shared" si="1"/>
        <v/>
      </c>
      <c r="O148" s="74"/>
    </row>
    <row r="149" ht="15.75" customHeight="1">
      <c r="E149" s="74"/>
      <c r="M149" s="74"/>
      <c r="N149" s="142" t="str">
        <f t="shared" si="1"/>
        <v/>
      </c>
      <c r="O149" s="74"/>
    </row>
    <row r="150" ht="15.75" customHeight="1">
      <c r="E150" s="74"/>
      <c r="M150" s="74"/>
      <c r="N150" s="142" t="str">
        <f t="shared" si="1"/>
        <v/>
      </c>
      <c r="O150" s="74"/>
    </row>
    <row r="151" ht="15.75" customHeight="1">
      <c r="E151" s="74"/>
      <c r="M151" s="74"/>
      <c r="N151" s="142" t="str">
        <f t="shared" si="1"/>
        <v/>
      </c>
      <c r="O151" s="74"/>
    </row>
    <row r="152" ht="15.75" customHeight="1">
      <c r="E152" s="74"/>
      <c r="M152" s="74"/>
      <c r="N152" s="142" t="str">
        <f t="shared" si="1"/>
        <v/>
      </c>
      <c r="O152" s="74"/>
    </row>
    <row r="153" ht="15.75" customHeight="1">
      <c r="E153" s="74"/>
      <c r="M153" s="74"/>
      <c r="N153" s="142" t="str">
        <f t="shared" si="1"/>
        <v/>
      </c>
      <c r="O153" s="74"/>
    </row>
    <row r="154" ht="15.75" customHeight="1">
      <c r="E154" s="74"/>
      <c r="M154" s="74"/>
      <c r="N154" s="142" t="str">
        <f t="shared" si="1"/>
        <v/>
      </c>
      <c r="O154" s="74"/>
    </row>
    <row r="155" ht="15.75" customHeight="1">
      <c r="E155" s="74"/>
      <c r="M155" s="74"/>
      <c r="N155" s="142" t="str">
        <f t="shared" si="1"/>
        <v/>
      </c>
      <c r="O155" s="74"/>
    </row>
    <row r="156" ht="15.75" customHeight="1">
      <c r="E156" s="74"/>
      <c r="M156" s="74"/>
      <c r="N156" s="142" t="str">
        <f t="shared" si="1"/>
        <v/>
      </c>
      <c r="O156" s="74"/>
    </row>
    <row r="157" ht="15.75" customHeight="1">
      <c r="E157" s="74"/>
      <c r="M157" s="74"/>
      <c r="N157" s="142" t="str">
        <f t="shared" si="1"/>
        <v/>
      </c>
      <c r="O157" s="74"/>
    </row>
    <row r="158" ht="15.75" customHeight="1">
      <c r="E158" s="74"/>
      <c r="M158" s="74"/>
      <c r="N158" s="142" t="str">
        <f t="shared" si="1"/>
        <v/>
      </c>
      <c r="O158" s="74"/>
    </row>
    <row r="159" ht="15.75" customHeight="1">
      <c r="E159" s="74"/>
      <c r="M159" s="74"/>
      <c r="N159" s="142" t="str">
        <f t="shared" si="1"/>
        <v/>
      </c>
      <c r="O159" s="74"/>
    </row>
    <row r="160" ht="15.75" customHeight="1">
      <c r="E160" s="74"/>
      <c r="M160" s="74"/>
      <c r="N160" s="142" t="str">
        <f t="shared" si="1"/>
        <v/>
      </c>
      <c r="O160" s="74"/>
    </row>
    <row r="161" ht="15.75" customHeight="1">
      <c r="E161" s="74"/>
      <c r="M161" s="74"/>
      <c r="N161" s="142" t="str">
        <f t="shared" si="1"/>
        <v/>
      </c>
      <c r="O161" s="74"/>
    </row>
    <row r="162" ht="15.75" customHeight="1">
      <c r="E162" s="74"/>
      <c r="M162" s="74"/>
      <c r="N162" s="142" t="str">
        <f t="shared" si="1"/>
        <v/>
      </c>
      <c r="O162" s="74"/>
    </row>
    <row r="163" ht="15.75" customHeight="1">
      <c r="E163" s="74"/>
      <c r="M163" s="74"/>
      <c r="N163" s="142" t="str">
        <f t="shared" si="1"/>
        <v/>
      </c>
      <c r="O163" s="74"/>
    </row>
    <row r="164" ht="15.75" customHeight="1">
      <c r="E164" s="74"/>
      <c r="M164" s="74"/>
      <c r="N164" s="142" t="str">
        <f t="shared" si="1"/>
        <v/>
      </c>
      <c r="O164" s="74"/>
    </row>
    <row r="165" ht="15.75" customHeight="1">
      <c r="E165" s="74"/>
      <c r="M165" s="74"/>
      <c r="N165" s="142" t="str">
        <f t="shared" si="1"/>
        <v/>
      </c>
      <c r="O165" s="74"/>
    </row>
    <row r="166" ht="15.75" customHeight="1">
      <c r="E166" s="74"/>
      <c r="M166" s="74"/>
      <c r="N166" s="142" t="str">
        <f t="shared" si="1"/>
        <v/>
      </c>
      <c r="O166" s="74"/>
    </row>
    <row r="167" ht="15.75" customHeight="1">
      <c r="E167" s="74"/>
      <c r="M167" s="74"/>
      <c r="N167" s="142" t="str">
        <f t="shared" si="1"/>
        <v/>
      </c>
      <c r="O167" s="74"/>
    </row>
    <row r="168" ht="15.75" customHeight="1">
      <c r="E168" s="74"/>
      <c r="M168" s="74"/>
      <c r="N168" s="142" t="str">
        <f t="shared" si="1"/>
        <v/>
      </c>
      <c r="O168" s="74"/>
    </row>
    <row r="169" ht="15.75" customHeight="1">
      <c r="E169" s="74"/>
      <c r="M169" s="74"/>
      <c r="N169" s="142" t="str">
        <f t="shared" si="1"/>
        <v/>
      </c>
      <c r="O169" s="74"/>
    </row>
    <row r="170" ht="15.75" customHeight="1">
      <c r="E170" s="74"/>
      <c r="M170" s="74"/>
      <c r="N170" s="142" t="str">
        <f t="shared" si="1"/>
        <v/>
      </c>
      <c r="O170" s="74"/>
    </row>
    <row r="171" ht="15.75" customHeight="1">
      <c r="E171" s="74"/>
      <c r="M171" s="74"/>
      <c r="N171" s="142" t="str">
        <f t="shared" si="1"/>
        <v/>
      </c>
      <c r="O171" s="74"/>
    </row>
    <row r="172" ht="15.75" customHeight="1">
      <c r="E172" s="74"/>
      <c r="M172" s="74"/>
      <c r="N172" s="142" t="str">
        <f t="shared" si="1"/>
        <v/>
      </c>
      <c r="O172" s="74"/>
    </row>
    <row r="173" ht="15.75" customHeight="1">
      <c r="E173" s="74"/>
      <c r="M173" s="74"/>
      <c r="N173" s="142" t="str">
        <f t="shared" si="1"/>
        <v/>
      </c>
      <c r="O173" s="74"/>
    </row>
    <row r="174" ht="15.75" customHeight="1">
      <c r="E174" s="74"/>
      <c r="M174" s="74"/>
      <c r="N174" s="142" t="str">
        <f t="shared" si="1"/>
        <v/>
      </c>
      <c r="O174" s="74"/>
    </row>
    <row r="175" ht="15.75" customHeight="1">
      <c r="E175" s="74"/>
      <c r="M175" s="74"/>
      <c r="N175" s="142" t="str">
        <f t="shared" si="1"/>
        <v/>
      </c>
      <c r="O175" s="74"/>
    </row>
    <row r="176" ht="15.75" customHeight="1">
      <c r="E176" s="74"/>
      <c r="M176" s="74"/>
      <c r="N176" s="142" t="str">
        <f t="shared" si="1"/>
        <v/>
      </c>
      <c r="O176" s="74"/>
    </row>
    <row r="177" ht="15.75" customHeight="1">
      <c r="E177" s="74"/>
      <c r="M177" s="74"/>
      <c r="N177" s="142" t="str">
        <f t="shared" si="1"/>
        <v/>
      </c>
      <c r="O177" s="74"/>
    </row>
    <row r="178" ht="15.75" customHeight="1">
      <c r="E178" s="74"/>
      <c r="M178" s="74"/>
      <c r="N178" s="142" t="str">
        <f t="shared" si="1"/>
        <v/>
      </c>
      <c r="O178" s="74"/>
    </row>
    <row r="179" ht="15.75" customHeight="1">
      <c r="E179" s="74"/>
      <c r="M179" s="74"/>
      <c r="N179" s="142" t="str">
        <f t="shared" si="1"/>
        <v/>
      </c>
      <c r="O179" s="74"/>
    </row>
    <row r="180" ht="15.75" customHeight="1">
      <c r="E180" s="74"/>
      <c r="M180" s="74"/>
      <c r="N180" s="142" t="str">
        <f t="shared" si="1"/>
        <v/>
      </c>
      <c r="O180" s="74"/>
    </row>
    <row r="181" ht="15.75" customHeight="1">
      <c r="E181" s="74"/>
      <c r="M181" s="74"/>
      <c r="N181" s="142" t="str">
        <f t="shared" si="1"/>
        <v/>
      </c>
      <c r="O181" s="74"/>
    </row>
    <row r="182" ht="15.75" customHeight="1">
      <c r="E182" s="74"/>
      <c r="M182" s="74"/>
      <c r="N182" s="142" t="str">
        <f t="shared" si="1"/>
        <v/>
      </c>
      <c r="O182" s="74"/>
    </row>
    <row r="183" ht="15.75" customHeight="1">
      <c r="E183" s="74"/>
      <c r="M183" s="74"/>
      <c r="N183" s="142" t="str">
        <f t="shared" si="1"/>
        <v/>
      </c>
      <c r="O183" s="74"/>
    </row>
    <row r="184" ht="15.75" customHeight="1">
      <c r="E184" s="74"/>
      <c r="M184" s="74"/>
      <c r="N184" s="142" t="str">
        <f t="shared" si="1"/>
        <v/>
      </c>
      <c r="O184" s="74"/>
    </row>
    <row r="185" ht="15.75" customHeight="1">
      <c r="E185" s="74"/>
      <c r="M185" s="74"/>
      <c r="N185" s="142" t="str">
        <f t="shared" si="1"/>
        <v/>
      </c>
      <c r="O185" s="74"/>
    </row>
    <row r="186" ht="15.75" customHeight="1">
      <c r="E186" s="74"/>
      <c r="M186" s="74"/>
      <c r="N186" s="142" t="str">
        <f t="shared" si="1"/>
        <v/>
      </c>
      <c r="O186" s="74"/>
    </row>
    <row r="187" ht="15.75" customHeight="1">
      <c r="E187" s="74"/>
      <c r="M187" s="74"/>
      <c r="N187" s="142" t="str">
        <f t="shared" si="1"/>
        <v/>
      </c>
      <c r="O187" s="74"/>
    </row>
    <row r="188" ht="15.75" customHeight="1">
      <c r="E188" s="74"/>
      <c r="M188" s="74"/>
      <c r="N188" s="142" t="str">
        <f t="shared" si="1"/>
        <v/>
      </c>
      <c r="O188" s="74"/>
    </row>
    <row r="189" ht="15.75" customHeight="1">
      <c r="E189" s="74"/>
      <c r="M189" s="74"/>
      <c r="N189" s="142" t="str">
        <f t="shared" si="1"/>
        <v/>
      </c>
      <c r="O189" s="74"/>
    </row>
    <row r="190" ht="15.75" customHeight="1">
      <c r="E190" s="74"/>
      <c r="M190" s="74"/>
      <c r="N190" s="142" t="str">
        <f t="shared" si="1"/>
        <v/>
      </c>
      <c r="O190" s="74"/>
    </row>
    <row r="191" ht="15.75" customHeight="1">
      <c r="E191" s="74"/>
      <c r="M191" s="74"/>
      <c r="N191" s="142" t="str">
        <f t="shared" si="1"/>
        <v/>
      </c>
      <c r="O191" s="74"/>
    </row>
    <row r="192" ht="15.75" customHeight="1">
      <c r="E192" s="74"/>
      <c r="M192" s="74"/>
      <c r="N192" s="142" t="str">
        <f t="shared" si="1"/>
        <v/>
      </c>
      <c r="O192" s="74"/>
    </row>
    <row r="193" ht="15.75" customHeight="1">
      <c r="E193" s="74"/>
      <c r="M193" s="74"/>
      <c r="N193" s="142" t="str">
        <f t="shared" si="1"/>
        <v/>
      </c>
      <c r="O193" s="74"/>
    </row>
    <row r="194" ht="15.75" customHeight="1">
      <c r="E194" s="74"/>
      <c r="M194" s="74"/>
      <c r="N194" s="142" t="str">
        <f t="shared" si="1"/>
        <v/>
      </c>
      <c r="O194" s="74"/>
    </row>
    <row r="195" ht="15.75" customHeight="1">
      <c r="E195" s="74"/>
      <c r="M195" s="74"/>
      <c r="N195" s="142" t="str">
        <f t="shared" si="1"/>
        <v/>
      </c>
      <c r="O195" s="74"/>
    </row>
    <row r="196" ht="15.75" customHeight="1">
      <c r="E196" s="74"/>
      <c r="M196" s="74"/>
      <c r="N196" s="142" t="str">
        <f t="shared" si="1"/>
        <v/>
      </c>
      <c r="O196" s="74"/>
    </row>
    <row r="197" ht="15.75" customHeight="1">
      <c r="E197" s="74"/>
      <c r="M197" s="74"/>
      <c r="N197" s="142" t="str">
        <f t="shared" si="1"/>
        <v/>
      </c>
      <c r="O197" s="74"/>
    </row>
    <row r="198" ht="15.75" customHeight="1">
      <c r="E198" s="74"/>
      <c r="M198" s="74"/>
      <c r="N198" s="142" t="str">
        <f t="shared" si="1"/>
        <v/>
      </c>
      <c r="O198" s="74"/>
    </row>
    <row r="199" ht="15.75" customHeight="1">
      <c r="E199" s="74"/>
      <c r="M199" s="74"/>
      <c r="N199" s="142" t="str">
        <f t="shared" si="1"/>
        <v/>
      </c>
      <c r="O199" s="74"/>
    </row>
    <row r="200" ht="15.75" customHeight="1">
      <c r="E200" s="74"/>
      <c r="M200" s="74"/>
      <c r="N200" s="142" t="str">
        <f t="shared" si="1"/>
        <v/>
      </c>
      <c r="O200" s="74"/>
    </row>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P1"/>
    <mergeCell ref="A2:P2"/>
  </mergeCells>
  <conditionalFormatting sqref="N4:N200">
    <cfRule type="colorScale" priority="1">
      <colorScale>
        <cfvo type="formula" val="0"/>
        <cfvo type="formula" val="5"/>
        <cfvo type="formula" val="10"/>
        <color rgb="FFC0392B"/>
        <color rgb="FFF39C12"/>
        <color rgb="FF27AE60"/>
      </colorScale>
    </cfRule>
  </conditionalFormatting>
  <conditionalFormatting sqref="L4:L200">
    <cfRule type="cellIs" dxfId="1" priority="2" operator="greaterThan">
      <formula>15</formula>
    </cfRule>
  </conditionalFormatting>
  <dataValidations>
    <dataValidation type="list" allowBlank="1" sqref="M4:M200">
      <formula1>"Human,Likely AI,AI,Inconclusive"</formula1>
    </dataValidation>
    <dataValidation type="list" allowBlank="1" sqref="O4:O200">
      <formula1>"🟢 PASS,🟡 CONDITIONAL PASS,🔴 FAIL – REVISE,⛔ INTEGRITY FAIL"</formula1>
    </dataValidation>
    <dataValidation type="list" allowBlank="1" sqref="E4:E200">
      <formula1>"Draft 1,Draft 2,Final Draft,Published"</formula1>
    </dataValidation>
  </dataValidations>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4.43" defaultRowHeight="15.0"/>
  <cols>
    <col customWidth="1" min="1" max="1" width="4.0"/>
    <col customWidth="1" min="2" max="2" width="20.0"/>
    <col customWidth="1" min="3" max="3" width="14.0"/>
    <col customWidth="1" min="4" max="5" width="12.0"/>
    <col customWidth="1" min="6" max="13" width="14.0"/>
    <col customWidth="1" min="14" max="25" width="8.71"/>
  </cols>
  <sheetData>
    <row r="1" ht="31.5" customHeight="1">
      <c r="A1" s="112" t="s">
        <v>345</v>
      </c>
      <c r="B1" s="2"/>
      <c r="C1" s="2"/>
      <c r="D1" s="2"/>
      <c r="E1" s="2"/>
      <c r="F1" s="2"/>
      <c r="G1" s="2"/>
      <c r="H1" s="2"/>
      <c r="I1" s="2"/>
      <c r="J1" s="2"/>
      <c r="K1" s="2"/>
      <c r="L1" s="2"/>
      <c r="M1" s="3"/>
    </row>
    <row r="2" ht="18.0" customHeight="1">
      <c r="A2" s="123" t="s">
        <v>346</v>
      </c>
      <c r="B2" s="2"/>
      <c r="C2" s="2"/>
      <c r="D2" s="2"/>
      <c r="E2" s="2"/>
      <c r="F2" s="2"/>
      <c r="G2" s="2"/>
      <c r="H2" s="2"/>
      <c r="I2" s="2"/>
      <c r="J2" s="2"/>
      <c r="K2" s="2"/>
      <c r="L2" s="2"/>
      <c r="M2" s="3"/>
    </row>
    <row r="3" ht="42.0" customHeight="1">
      <c r="A3" s="29" t="s">
        <v>23</v>
      </c>
      <c r="B3" s="29" t="s">
        <v>205</v>
      </c>
      <c r="C3" s="29" t="s">
        <v>206</v>
      </c>
      <c r="D3" s="29" t="s">
        <v>347</v>
      </c>
      <c r="E3" s="29" t="s">
        <v>110</v>
      </c>
      <c r="F3" s="29" t="s">
        <v>348</v>
      </c>
      <c r="G3" s="29" t="s">
        <v>349</v>
      </c>
      <c r="H3" s="29" t="s">
        <v>350</v>
      </c>
      <c r="I3" s="29" t="s">
        <v>351</v>
      </c>
      <c r="J3" s="29" t="s">
        <v>352</v>
      </c>
      <c r="K3" s="29" t="s">
        <v>353</v>
      </c>
      <c r="L3" s="29" t="s">
        <v>354</v>
      </c>
      <c r="M3" s="29" t="s">
        <v>355</v>
      </c>
    </row>
    <row r="4" ht="27.75" customHeight="1">
      <c r="A4" s="124">
        <v>1.0</v>
      </c>
      <c r="B4" s="143" t="s">
        <v>356</v>
      </c>
      <c r="C4" s="124" t="str">
        <f>'👥 MEMBER REGISTRY'!C4</f>
        <v>Vice President</v>
      </c>
      <c r="D4" s="124">
        <f>COUNTIFS('✅ ATTENDANCE &amp; ENGAGEMENT'!C$4:C$500,B4,'✅ ATTENDANCE &amp; ENGAGEMENT'!E$4:E$500,"Y")</f>
        <v>0</v>
      </c>
      <c r="E4" s="144">
        <f>IFERROR(D4/'📅 SESSION LOG'!$B$2,"")</f>
        <v>0</v>
      </c>
      <c r="F4" s="124" t="str">
        <f>IFERROR(AVERAGEIF('✅ ATTENDANCE &amp; ENGAGEMENT'!C$4:C$500,B4,'✅ ATTENDANCE &amp; ENGAGEMENT'!J$4:J$500),"")</f>
        <v/>
      </c>
      <c r="G4" s="144" t="str">
        <f>IFERROR(AVERAGEIF('🧪 TEST SCORES'!C$4:C$500,B4,'🧪 TEST SCORES'!H$4:H$500),"")</f>
        <v/>
      </c>
      <c r="H4" s="144" t="str">
        <f>IFERROR(AVERAGEIF('🧪 TEST SCORES'!C$4:C$500,B4,'🧪 TEST SCORES'!K$4:K$500),"")</f>
        <v/>
      </c>
      <c r="I4" s="144">
        <f t="shared" ref="I4:I8" si="1">IFERROR(H4-G4,"")</f>
        <v>0</v>
      </c>
      <c r="J4" s="124" t="str">
        <f>IFERROR(AVERAGEIF('✍️ WRITING QUALITY'!C$4:C$500,B4,'✍️ WRITING QUALITY'!N$4:N$500),"")</f>
        <v/>
      </c>
      <c r="K4" s="124">
        <f>COUNTIF('✍️ WRITING QUALITY'!C$4:C$500,B4)</f>
        <v>0</v>
      </c>
      <c r="L4" s="124">
        <f>COUNTIFS('✍️ WRITING QUALITY'!C$4:C$500,B4,'✍️ WRITING QUALITY'!O$4:O$500,"🟢 PASS")</f>
        <v>0</v>
      </c>
      <c r="M4" s="143" t="str">
        <f t="shared" ref="M4:M8" si="2">IFERROR(IF(AVERAGE(IFERROR(F4,0),IFERROR(H4*10,0),IFERROR(J4,0))&gt;=8,"🟢 Excellent",IF(AVERAGE(IFERROR(F4,0),IFERROR(H4*10,0),IFERROR(J4,0))&gt;=6,"🟡 Good","🔴 Needs Support")),"—")</f>
        <v>🔴 Needs Support</v>
      </c>
    </row>
    <row r="5" ht="27.75" customHeight="1">
      <c r="A5" s="84">
        <v>2.0</v>
      </c>
      <c r="B5" s="145" t="s">
        <v>292</v>
      </c>
      <c r="C5" s="84" t="str">
        <f>'👥 MEMBER REGISTRY'!C5</f>
        <v>Lead Editor</v>
      </c>
      <c r="D5" s="84">
        <f>COUNTIFS('✅ ATTENDANCE &amp; ENGAGEMENT'!C$4:C$500,B5,'✅ ATTENDANCE &amp; ENGAGEMENT'!E$4:E$500,"Y")</f>
        <v>0</v>
      </c>
      <c r="E5" s="146">
        <f>IFERROR(D5/'📅 SESSION LOG'!$B$2,"")</f>
        <v>0</v>
      </c>
      <c r="F5" s="84" t="str">
        <f>IFERROR(AVERAGEIF('✅ ATTENDANCE &amp; ENGAGEMENT'!C$4:C$500,B5,'✅ ATTENDANCE &amp; ENGAGEMENT'!J$4:J$500),"")</f>
        <v/>
      </c>
      <c r="G5" s="146">
        <f>IFERROR(AVERAGEIF('🧪 TEST SCORES'!C$4:C$500,B5,'🧪 TEST SCORES'!H$4:H$500),"")</f>
        <v>0.75</v>
      </c>
      <c r="H5" s="146">
        <f>IFERROR(AVERAGEIF('🧪 TEST SCORES'!C$4:C$500,B5,'🧪 TEST SCORES'!K$4:K$500),"")</f>
        <v>0.95</v>
      </c>
      <c r="I5" s="146">
        <f t="shared" si="1"/>
        <v>0.2</v>
      </c>
      <c r="J5" s="84" t="str">
        <f>IFERROR(AVERAGEIF('✍️ WRITING QUALITY'!C$4:C$500,B5,'✍️ WRITING QUALITY'!N$4:N$500),"")</f>
        <v/>
      </c>
      <c r="K5" s="84">
        <f>COUNTIF('✍️ WRITING QUALITY'!C$4:C$500,B5)</f>
        <v>0</v>
      </c>
      <c r="L5" s="84">
        <f>COUNTIFS('✍️ WRITING QUALITY'!C$4:C$500,B5,'✍️ WRITING QUALITY'!O$4:O$500,"🟢 PASS")</f>
        <v>0</v>
      </c>
      <c r="M5" s="145" t="str">
        <f t="shared" si="2"/>
        <v>🟢 Excellent</v>
      </c>
    </row>
    <row r="6" ht="27.75" customHeight="1">
      <c r="A6" s="124">
        <v>3.0</v>
      </c>
      <c r="B6" s="143" t="s">
        <v>295</v>
      </c>
      <c r="C6" s="124" t="str">
        <f>'👥 MEMBER REGISTRY'!C6</f>
        <v>Part Timer</v>
      </c>
      <c r="D6" s="124">
        <f>COUNTIFS('✅ ATTENDANCE &amp; ENGAGEMENT'!C$4:C$500,B6,'✅ ATTENDANCE &amp; ENGAGEMENT'!E$4:E$500,"Y")</f>
        <v>0</v>
      </c>
      <c r="E6" s="144">
        <f>IFERROR(D6/'📅 SESSION LOG'!$B$2,"")</f>
        <v>0</v>
      </c>
      <c r="F6" s="124" t="str">
        <f>IFERROR(AVERAGEIF('✅ ATTENDANCE &amp; ENGAGEMENT'!C$4:C$500,B6,'✅ ATTENDANCE &amp; ENGAGEMENT'!J$4:J$500),"")</f>
        <v/>
      </c>
      <c r="G6" s="144">
        <f>IFERROR(AVERAGEIF('🧪 TEST SCORES'!C$4:C$500,B6,'🧪 TEST SCORES'!H$4:H$500),"")</f>
        <v>0.5</v>
      </c>
      <c r="H6" s="144">
        <f>IFERROR(AVERAGEIF('🧪 TEST SCORES'!C$4:C$500,B6,'🧪 TEST SCORES'!K$4:K$500),"")</f>
        <v>0.7</v>
      </c>
      <c r="I6" s="144">
        <f t="shared" si="1"/>
        <v>0.2</v>
      </c>
      <c r="J6" s="124" t="str">
        <f>IFERROR(AVERAGEIF('✍️ WRITING QUALITY'!C$4:C$500,B6,'✍️ WRITING QUALITY'!N$4:N$500),"")</f>
        <v/>
      </c>
      <c r="K6" s="124">
        <f>COUNTIF('✍️ WRITING QUALITY'!C$4:C$500,B6)</f>
        <v>0</v>
      </c>
      <c r="L6" s="124">
        <f>COUNTIFS('✍️ WRITING QUALITY'!C$4:C$500,B6,'✍️ WRITING QUALITY'!O$4:O$500,"🟢 PASS")</f>
        <v>0</v>
      </c>
      <c r="M6" s="143" t="str">
        <f t="shared" si="2"/>
        <v>🟡 Good</v>
      </c>
    </row>
    <row r="7" ht="27.75" customHeight="1">
      <c r="A7" s="84">
        <v>4.0</v>
      </c>
      <c r="B7" s="145" t="s">
        <v>357</v>
      </c>
      <c r="C7" s="84" t="str">
        <f>'👥 MEMBER REGISTRY'!C7</f>
        <v>Lead Editor</v>
      </c>
      <c r="D7" s="84">
        <f>COUNTIFS('✅ ATTENDANCE &amp; ENGAGEMENT'!C$4:C$500,B7,'✅ ATTENDANCE &amp; ENGAGEMENT'!E$4:E$500,"Y")</f>
        <v>0</v>
      </c>
      <c r="E7" s="146">
        <f>IFERROR(D7/'📅 SESSION LOG'!$B$2,"")</f>
        <v>0</v>
      </c>
      <c r="F7" s="84" t="str">
        <f>IFERROR(AVERAGEIF('✅ ATTENDANCE &amp; ENGAGEMENT'!C$4:C$500,B7,'✅ ATTENDANCE &amp; ENGAGEMENT'!J$4:J$500),"")</f>
        <v/>
      </c>
      <c r="G7" s="146" t="str">
        <f>IFERROR(AVERAGEIF('🧪 TEST SCORES'!C$4:C$500,B7,'🧪 TEST SCORES'!H$4:H$500),"")</f>
        <v/>
      </c>
      <c r="H7" s="146" t="str">
        <f>IFERROR(AVERAGEIF('🧪 TEST SCORES'!C$4:C$500,B7,'🧪 TEST SCORES'!K$4:K$500),"")</f>
        <v/>
      </c>
      <c r="I7" s="146">
        <f t="shared" si="1"/>
        <v>0</v>
      </c>
      <c r="J7" s="84" t="str">
        <f>IFERROR(AVERAGEIF('✍️ WRITING QUALITY'!C$4:C$500,B7,'✍️ WRITING QUALITY'!N$4:N$500),"")</f>
        <v/>
      </c>
      <c r="K7" s="84">
        <f>COUNTIF('✍️ WRITING QUALITY'!C$4:C$500,B7)</f>
        <v>0</v>
      </c>
      <c r="L7" s="84">
        <f>COUNTIFS('✍️ WRITING QUALITY'!C$4:C$500,B7,'✍️ WRITING QUALITY'!O$4:O$500,"🟢 PASS")</f>
        <v>0</v>
      </c>
      <c r="M7" s="145" t="str">
        <f t="shared" si="2"/>
        <v>🔴 Needs Support</v>
      </c>
    </row>
    <row r="8" ht="27.75" customHeight="1">
      <c r="A8" s="124">
        <v>5.0</v>
      </c>
      <c r="B8" s="143" t="s">
        <v>358</v>
      </c>
      <c r="C8" s="124" t="str">
        <f>'👥 MEMBER REGISTRY'!C8</f>
        <v>Writer</v>
      </c>
      <c r="D8" s="124">
        <f>COUNTIFS('✅ ATTENDANCE &amp; ENGAGEMENT'!C$4:C$500,B8,'✅ ATTENDANCE &amp; ENGAGEMENT'!E$4:E$500,"Y")</f>
        <v>0</v>
      </c>
      <c r="E8" s="144">
        <f>IFERROR(D8/'📅 SESSION LOG'!$B$2,"")</f>
        <v>0</v>
      </c>
      <c r="F8" s="124" t="str">
        <f>IFERROR(AVERAGEIF('✅ ATTENDANCE &amp; ENGAGEMENT'!C$4:C$500,B8,'✅ ATTENDANCE &amp; ENGAGEMENT'!J$4:J$500),"")</f>
        <v/>
      </c>
      <c r="G8" s="144" t="str">
        <f>IFERROR(AVERAGEIF('🧪 TEST SCORES'!C$4:C$500,B8,'🧪 TEST SCORES'!H$4:H$500),"")</f>
        <v/>
      </c>
      <c r="H8" s="144" t="str">
        <f>IFERROR(AVERAGEIF('🧪 TEST SCORES'!C$4:C$500,B8,'🧪 TEST SCORES'!K$4:K$500),"")</f>
        <v/>
      </c>
      <c r="I8" s="144">
        <f t="shared" si="1"/>
        <v>0</v>
      </c>
      <c r="J8" s="124" t="str">
        <f>IFERROR(AVERAGEIF('✍️ WRITING QUALITY'!C$4:C$500,B8,'✍️ WRITING QUALITY'!N$4:N$500),"")</f>
        <v/>
      </c>
      <c r="K8" s="124">
        <f>COUNTIF('✍️ WRITING QUALITY'!C$4:C$500,B8)</f>
        <v>0</v>
      </c>
      <c r="L8" s="124">
        <f>COUNTIFS('✍️ WRITING QUALITY'!C$4:C$500,B8,'✍️ WRITING QUALITY'!O$4:O$500,"🟢 PASS")</f>
        <v>0</v>
      </c>
      <c r="M8" s="143" t="str">
        <f t="shared" si="2"/>
        <v>🔴 Needs Support</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M1"/>
    <mergeCell ref="A2:M2"/>
  </mergeCells>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4.43" defaultRowHeight="15.0"/>
  <cols>
    <col customWidth="1" min="1" max="1" width="5.0"/>
    <col customWidth="1" min="2" max="2" width="12.0"/>
    <col customWidth="1" min="3" max="3" width="22.0"/>
    <col customWidth="1" min="4" max="4" width="20.0"/>
    <col customWidth="1" min="5" max="5" width="18.0"/>
    <col customWidth="1" min="6" max="6" width="22.0"/>
    <col customWidth="1" min="7" max="8" width="14.0"/>
    <col customWidth="1" min="9" max="9" width="18.0"/>
    <col customWidth="1" min="10" max="11" width="14.0"/>
    <col customWidth="1" min="12" max="12" width="22.0"/>
    <col customWidth="1" min="13" max="26" width="8.71"/>
  </cols>
  <sheetData>
    <row r="1" ht="31.5" customHeight="1">
      <c r="A1" s="26" t="s">
        <v>359</v>
      </c>
      <c r="B1" s="2"/>
      <c r="C1" s="2"/>
      <c r="D1" s="2"/>
      <c r="E1" s="2"/>
      <c r="F1" s="2"/>
      <c r="G1" s="2"/>
      <c r="H1" s="2"/>
      <c r="I1" s="2"/>
      <c r="J1" s="2"/>
      <c r="K1" s="2"/>
      <c r="L1" s="3"/>
    </row>
    <row r="2" ht="19.5" customHeight="1">
      <c r="A2" s="147" t="s">
        <v>360</v>
      </c>
      <c r="B2" s="2"/>
      <c r="C2" s="2"/>
      <c r="D2" s="2"/>
      <c r="E2" s="2"/>
      <c r="F2" s="2"/>
      <c r="G2" s="2"/>
      <c r="H2" s="2"/>
      <c r="I2" s="2"/>
      <c r="J2" s="2"/>
      <c r="K2" s="2"/>
      <c r="L2" s="3"/>
    </row>
    <row r="3" ht="43.5" customHeight="1">
      <c r="A3" s="29" t="s">
        <v>361</v>
      </c>
      <c r="B3" s="29" t="s">
        <v>102</v>
      </c>
      <c r="C3" s="29" t="s">
        <v>362</v>
      </c>
      <c r="D3" s="29" t="s">
        <v>363</v>
      </c>
      <c r="E3" s="29" t="s">
        <v>364</v>
      </c>
      <c r="F3" s="29" t="s">
        <v>365</v>
      </c>
      <c r="G3" s="29" t="s">
        <v>366</v>
      </c>
      <c r="H3" s="29" t="s">
        <v>367</v>
      </c>
      <c r="I3" s="29" t="s">
        <v>368</v>
      </c>
      <c r="J3" s="29" t="s">
        <v>369</v>
      </c>
      <c r="K3" s="29" t="s">
        <v>370</v>
      </c>
      <c r="L3" s="29" t="s">
        <v>371</v>
      </c>
    </row>
    <row r="4" ht="36.0" customHeight="1">
      <c r="A4" s="124" t="s">
        <v>372</v>
      </c>
      <c r="B4" s="124" t="s">
        <v>285</v>
      </c>
      <c r="C4" s="148" t="s">
        <v>373</v>
      </c>
      <c r="D4" s="124" t="s">
        <v>374</v>
      </c>
      <c r="E4" s="124" t="s">
        <v>375</v>
      </c>
      <c r="F4" s="148" t="s">
        <v>376</v>
      </c>
      <c r="G4" s="124">
        <v>9.0</v>
      </c>
      <c r="H4" s="148" t="s">
        <v>377</v>
      </c>
      <c r="I4" s="124" t="s">
        <v>378</v>
      </c>
      <c r="J4" s="124">
        <v>5.0</v>
      </c>
      <c r="K4" s="124" t="s">
        <v>379</v>
      </c>
      <c r="L4" s="148" t="s">
        <v>380</v>
      </c>
    </row>
    <row r="5" ht="36.0" customHeight="1">
      <c r="A5" s="149" t="s">
        <v>381</v>
      </c>
      <c r="B5" s="149" t="s">
        <v>285</v>
      </c>
      <c r="C5" s="150" t="s">
        <v>382</v>
      </c>
      <c r="D5" s="149" t="s">
        <v>383</v>
      </c>
      <c r="E5" s="149" t="s">
        <v>384</v>
      </c>
      <c r="F5" s="150" t="s">
        <v>385</v>
      </c>
      <c r="G5" s="149" t="s">
        <v>386</v>
      </c>
      <c r="H5" s="150" t="s">
        <v>387</v>
      </c>
      <c r="I5" s="149" t="s">
        <v>388</v>
      </c>
      <c r="J5" s="149">
        <v>5.0</v>
      </c>
      <c r="K5" s="149" t="s">
        <v>379</v>
      </c>
      <c r="L5" s="150" t="s">
        <v>389</v>
      </c>
    </row>
    <row r="6" ht="36.0" customHeight="1">
      <c r="A6" s="124" t="s">
        <v>390</v>
      </c>
      <c r="B6" s="124" t="s">
        <v>391</v>
      </c>
      <c r="C6" s="148" t="s">
        <v>392</v>
      </c>
      <c r="D6" s="124" t="s">
        <v>393</v>
      </c>
      <c r="E6" s="124" t="s">
        <v>394</v>
      </c>
      <c r="F6" s="148" t="s">
        <v>395</v>
      </c>
      <c r="G6" s="124" t="s">
        <v>396</v>
      </c>
      <c r="H6" s="148" t="s">
        <v>397</v>
      </c>
      <c r="I6" s="124" t="s">
        <v>398</v>
      </c>
      <c r="J6" s="124">
        <v>5.0</v>
      </c>
      <c r="K6" s="124" t="s">
        <v>379</v>
      </c>
      <c r="L6" s="148" t="s">
        <v>399</v>
      </c>
    </row>
    <row r="7" ht="36.0" customHeight="1">
      <c r="A7" s="149" t="s">
        <v>400</v>
      </c>
      <c r="B7" s="149" t="s">
        <v>401</v>
      </c>
      <c r="C7" s="150" t="s">
        <v>402</v>
      </c>
      <c r="D7" s="149" t="s">
        <v>374</v>
      </c>
      <c r="E7" s="149" t="s">
        <v>403</v>
      </c>
      <c r="F7" s="150" t="s">
        <v>404</v>
      </c>
      <c r="G7" s="149">
        <v>10.0</v>
      </c>
      <c r="H7" s="150" t="s">
        <v>405</v>
      </c>
      <c r="I7" s="149" t="s">
        <v>406</v>
      </c>
      <c r="J7" s="149">
        <v>4.0</v>
      </c>
      <c r="K7" s="149" t="s">
        <v>379</v>
      </c>
      <c r="L7" s="150" t="s">
        <v>407</v>
      </c>
    </row>
    <row r="8">
      <c r="D8" s="74"/>
      <c r="E8" s="74"/>
    </row>
    <row r="9">
      <c r="D9" s="74"/>
      <c r="E9" s="74"/>
    </row>
    <row r="10">
      <c r="D10" s="74"/>
      <c r="E10" s="74"/>
    </row>
    <row r="11">
      <c r="D11" s="74"/>
      <c r="E11" s="74"/>
    </row>
    <row r="12">
      <c r="D12" s="74"/>
      <c r="E12" s="74"/>
    </row>
    <row r="13">
      <c r="D13" s="74"/>
      <c r="E13" s="74"/>
    </row>
    <row r="14">
      <c r="D14" s="74"/>
      <c r="E14" s="74"/>
    </row>
    <row r="15">
      <c r="D15" s="74"/>
      <c r="E15" s="74"/>
    </row>
    <row r="16">
      <c r="D16" s="74"/>
      <c r="E16" s="74"/>
    </row>
    <row r="17">
      <c r="D17" s="74"/>
      <c r="E17" s="74"/>
    </row>
    <row r="18">
      <c r="D18" s="74"/>
      <c r="E18" s="74"/>
    </row>
    <row r="19">
      <c r="D19" s="74"/>
      <c r="E19" s="74"/>
    </row>
    <row r="20">
      <c r="D20" s="74"/>
      <c r="E20" s="74"/>
    </row>
    <row r="21" ht="15.75" customHeight="1">
      <c r="D21" s="74"/>
      <c r="E21" s="74"/>
    </row>
    <row r="22" ht="15.75" customHeight="1">
      <c r="D22" s="74"/>
      <c r="E22" s="74"/>
    </row>
    <row r="23" ht="15.75" customHeight="1">
      <c r="D23" s="74"/>
      <c r="E23" s="74"/>
    </row>
    <row r="24" ht="15.75" customHeight="1">
      <c r="D24" s="74"/>
      <c r="E24" s="74"/>
    </row>
    <row r="25" ht="15.75" customHeight="1">
      <c r="D25" s="74"/>
      <c r="E25" s="74"/>
    </row>
    <row r="26" ht="15.75" customHeight="1">
      <c r="D26" s="74"/>
      <c r="E26" s="74"/>
    </row>
    <row r="27" ht="15.75" customHeight="1">
      <c r="D27" s="74"/>
      <c r="E27" s="74"/>
    </row>
    <row r="28" ht="15.75" customHeight="1">
      <c r="D28" s="74"/>
      <c r="E28" s="74"/>
    </row>
    <row r="29" ht="15.75" customHeight="1">
      <c r="D29" s="74"/>
      <c r="E29" s="74"/>
    </row>
    <row r="30" ht="15.75" customHeight="1">
      <c r="D30" s="74"/>
      <c r="E30" s="74"/>
    </row>
    <row r="31" ht="15.75" customHeight="1">
      <c r="D31" s="74"/>
      <c r="E31" s="74"/>
    </row>
    <row r="32" ht="15.75" customHeight="1">
      <c r="D32" s="74"/>
      <c r="E32" s="74"/>
    </row>
    <row r="33" ht="15.75" customHeight="1">
      <c r="D33" s="74"/>
      <c r="E33" s="74"/>
    </row>
    <row r="34" ht="15.75" customHeight="1">
      <c r="D34" s="74"/>
      <c r="E34" s="74"/>
    </row>
    <row r="35" ht="15.75" customHeight="1">
      <c r="D35" s="74"/>
      <c r="E35" s="74"/>
    </row>
    <row r="36" ht="15.75" customHeight="1">
      <c r="D36" s="74"/>
      <c r="E36" s="74"/>
    </row>
    <row r="37" ht="15.75" customHeight="1">
      <c r="D37" s="74"/>
      <c r="E37" s="74"/>
    </row>
    <row r="38" ht="15.75" customHeight="1">
      <c r="D38" s="74"/>
      <c r="E38" s="74"/>
    </row>
    <row r="39" ht="15.75" customHeight="1">
      <c r="D39" s="74"/>
      <c r="E39" s="74"/>
    </row>
    <row r="40" ht="15.75" customHeight="1">
      <c r="D40" s="74"/>
      <c r="E40" s="74"/>
    </row>
    <row r="41" ht="15.75" customHeight="1">
      <c r="D41" s="74"/>
      <c r="E41" s="74"/>
    </row>
    <row r="42" ht="15.75" customHeight="1">
      <c r="D42" s="74"/>
      <c r="E42" s="74"/>
    </row>
    <row r="43" ht="15.75" customHeight="1">
      <c r="D43" s="74"/>
      <c r="E43" s="74"/>
    </row>
    <row r="44" ht="15.75" customHeight="1">
      <c r="D44" s="74"/>
      <c r="E44" s="74"/>
    </row>
    <row r="45" ht="15.75" customHeight="1">
      <c r="D45" s="74"/>
      <c r="E45" s="74"/>
    </row>
    <row r="46" ht="15.75" customHeight="1">
      <c r="D46" s="74"/>
      <c r="E46" s="74"/>
    </row>
    <row r="47" ht="15.75" customHeight="1">
      <c r="D47" s="74"/>
      <c r="E47" s="74"/>
    </row>
    <row r="48" ht="15.75" customHeight="1">
      <c r="D48" s="74"/>
      <c r="E48" s="74"/>
    </row>
    <row r="49" ht="15.75" customHeight="1">
      <c r="D49" s="74"/>
      <c r="E49" s="74"/>
    </row>
    <row r="50" ht="15.75" customHeight="1">
      <c r="D50" s="74"/>
      <c r="E50" s="74"/>
    </row>
    <row r="51" ht="15.75" customHeight="1">
      <c r="D51" s="74"/>
      <c r="E51" s="74"/>
    </row>
    <row r="52" ht="15.75" customHeight="1">
      <c r="D52" s="74"/>
      <c r="E52" s="74"/>
    </row>
    <row r="53" ht="15.75" customHeight="1">
      <c r="D53" s="74"/>
      <c r="E53" s="74"/>
    </row>
    <row r="54" ht="15.75" customHeight="1">
      <c r="D54" s="74"/>
      <c r="E54" s="74"/>
    </row>
    <row r="55" ht="15.75" customHeight="1">
      <c r="D55" s="74"/>
      <c r="E55" s="74"/>
    </row>
    <row r="56" ht="15.75" customHeight="1">
      <c r="D56" s="74"/>
      <c r="E56" s="74"/>
    </row>
    <row r="57" ht="15.75" customHeight="1">
      <c r="D57" s="74"/>
      <c r="E57" s="74"/>
    </row>
    <row r="58" ht="15.75" customHeight="1">
      <c r="D58" s="74"/>
      <c r="E58" s="74"/>
    </row>
    <row r="59" ht="15.75" customHeight="1">
      <c r="D59" s="74"/>
      <c r="E59" s="74"/>
    </row>
    <row r="60" ht="15.75" customHeight="1">
      <c r="D60" s="74"/>
      <c r="E60" s="74"/>
    </row>
    <row r="61" ht="15.75" customHeight="1">
      <c r="D61" s="74"/>
      <c r="E61" s="74"/>
    </row>
    <row r="62" ht="15.75" customHeight="1">
      <c r="D62" s="74"/>
      <c r="E62" s="74"/>
    </row>
    <row r="63" ht="15.75" customHeight="1">
      <c r="D63" s="74"/>
      <c r="E63" s="74"/>
    </row>
    <row r="64" ht="15.75" customHeight="1">
      <c r="D64" s="74"/>
      <c r="E64" s="74"/>
    </row>
    <row r="65" ht="15.75" customHeight="1">
      <c r="D65" s="74"/>
      <c r="E65" s="74"/>
    </row>
    <row r="66" ht="15.75" customHeight="1">
      <c r="D66" s="74"/>
      <c r="E66" s="74"/>
    </row>
    <row r="67" ht="15.75" customHeight="1">
      <c r="D67" s="74"/>
      <c r="E67" s="74"/>
    </row>
    <row r="68" ht="15.75" customHeight="1">
      <c r="D68" s="74"/>
      <c r="E68" s="74"/>
    </row>
    <row r="69" ht="15.75" customHeight="1">
      <c r="D69" s="74"/>
      <c r="E69" s="74"/>
    </row>
    <row r="70" ht="15.75" customHeight="1">
      <c r="D70" s="74"/>
      <c r="E70" s="74"/>
    </row>
    <row r="71" ht="15.75" customHeight="1">
      <c r="D71" s="74"/>
      <c r="E71" s="74"/>
    </row>
    <row r="72" ht="15.75" customHeight="1">
      <c r="D72" s="74"/>
      <c r="E72" s="74"/>
    </row>
    <row r="73" ht="15.75" customHeight="1">
      <c r="D73" s="74"/>
      <c r="E73" s="74"/>
    </row>
    <row r="74" ht="15.75" customHeight="1">
      <c r="D74" s="74"/>
      <c r="E74" s="74"/>
    </row>
    <row r="75" ht="15.75" customHeight="1">
      <c r="D75" s="74"/>
      <c r="E75" s="74"/>
    </row>
    <row r="76" ht="15.75" customHeight="1">
      <c r="D76" s="74"/>
      <c r="E76" s="74"/>
    </row>
    <row r="77" ht="15.75" customHeight="1">
      <c r="D77" s="74"/>
      <c r="E77" s="74"/>
    </row>
    <row r="78" ht="15.75" customHeight="1">
      <c r="D78" s="74"/>
      <c r="E78" s="74"/>
    </row>
    <row r="79" ht="15.75" customHeight="1">
      <c r="D79" s="74"/>
      <c r="E79" s="74"/>
    </row>
    <row r="80" ht="15.75" customHeight="1">
      <c r="D80" s="74"/>
      <c r="E80" s="74"/>
    </row>
    <row r="81" ht="15.75" customHeight="1">
      <c r="D81" s="74"/>
      <c r="E81" s="74"/>
    </row>
    <row r="82" ht="15.75" customHeight="1">
      <c r="D82" s="74"/>
      <c r="E82" s="74"/>
    </row>
    <row r="83" ht="15.75" customHeight="1">
      <c r="D83" s="74"/>
      <c r="E83" s="74"/>
    </row>
    <row r="84" ht="15.75" customHeight="1">
      <c r="D84" s="74"/>
      <c r="E84" s="74"/>
    </row>
    <row r="85" ht="15.75" customHeight="1">
      <c r="D85" s="74"/>
      <c r="E85" s="74"/>
    </row>
    <row r="86" ht="15.75" customHeight="1">
      <c r="D86" s="74"/>
      <c r="E86" s="74"/>
    </row>
    <row r="87" ht="15.75" customHeight="1">
      <c r="D87" s="74"/>
      <c r="E87" s="74"/>
    </row>
    <row r="88" ht="15.75" customHeight="1">
      <c r="D88" s="74"/>
      <c r="E88" s="74"/>
    </row>
    <row r="89" ht="15.75" customHeight="1">
      <c r="D89" s="74"/>
      <c r="E89" s="74"/>
    </row>
    <row r="90" ht="15.75" customHeight="1">
      <c r="D90" s="74"/>
      <c r="E90" s="74"/>
    </row>
    <row r="91" ht="15.75" customHeight="1">
      <c r="D91" s="74"/>
      <c r="E91" s="74"/>
    </row>
    <row r="92" ht="15.75" customHeight="1">
      <c r="D92" s="74"/>
      <c r="E92" s="74"/>
    </row>
    <row r="93" ht="15.75" customHeight="1">
      <c r="D93" s="74"/>
      <c r="E93" s="74"/>
    </row>
    <row r="94" ht="15.75" customHeight="1">
      <c r="D94" s="74"/>
      <c r="E94" s="74"/>
    </row>
    <row r="95" ht="15.75" customHeight="1">
      <c r="D95" s="74"/>
      <c r="E95" s="74"/>
    </row>
    <row r="96" ht="15.75" customHeight="1">
      <c r="D96" s="74"/>
      <c r="E96" s="74"/>
    </row>
    <row r="97" ht="15.75" customHeight="1">
      <c r="D97" s="74"/>
      <c r="E97" s="74"/>
    </row>
    <row r="98" ht="15.75" customHeight="1">
      <c r="D98" s="74"/>
      <c r="E98" s="74"/>
    </row>
    <row r="99" ht="15.75" customHeight="1">
      <c r="D99" s="74"/>
      <c r="E99" s="74"/>
    </row>
    <row r="100" ht="15.75" customHeight="1">
      <c r="D100" s="74"/>
      <c r="E100" s="74"/>
    </row>
    <row r="101" ht="15.75" customHeight="1">
      <c r="D101" s="74"/>
      <c r="E101" s="74"/>
    </row>
    <row r="102" ht="15.75" customHeight="1">
      <c r="D102" s="74"/>
      <c r="E102" s="74"/>
    </row>
    <row r="103" ht="15.75" customHeight="1">
      <c r="D103" s="74"/>
      <c r="E103" s="74"/>
    </row>
    <row r="104" ht="15.75" customHeight="1">
      <c r="D104" s="74"/>
      <c r="E104" s="74"/>
    </row>
    <row r="105" ht="15.75" customHeight="1">
      <c r="D105" s="74"/>
      <c r="E105" s="74"/>
    </row>
    <row r="106" ht="15.75" customHeight="1">
      <c r="D106" s="74"/>
      <c r="E106" s="74"/>
    </row>
    <row r="107" ht="15.75" customHeight="1">
      <c r="D107" s="74"/>
      <c r="E107" s="74"/>
    </row>
    <row r="108" ht="15.75" customHeight="1">
      <c r="D108" s="74"/>
      <c r="E108" s="74"/>
    </row>
    <row r="109" ht="15.75" customHeight="1">
      <c r="D109" s="74"/>
      <c r="E109" s="74"/>
    </row>
    <row r="110" ht="15.75" customHeight="1">
      <c r="D110" s="74"/>
      <c r="E110" s="74"/>
    </row>
    <row r="111" ht="15.75" customHeight="1">
      <c r="D111" s="74"/>
      <c r="E111" s="74"/>
    </row>
    <row r="112" ht="15.75" customHeight="1">
      <c r="D112" s="74"/>
      <c r="E112" s="74"/>
    </row>
    <row r="113" ht="15.75" customHeight="1">
      <c r="D113" s="74"/>
      <c r="E113" s="74"/>
    </row>
    <row r="114" ht="15.75" customHeight="1">
      <c r="D114" s="74"/>
      <c r="E114" s="74"/>
    </row>
    <row r="115" ht="15.75" customHeight="1">
      <c r="D115" s="74"/>
      <c r="E115" s="74"/>
    </row>
    <row r="116" ht="15.75" customHeight="1">
      <c r="D116" s="74"/>
      <c r="E116" s="74"/>
    </row>
    <row r="117" ht="15.75" customHeight="1">
      <c r="D117" s="74"/>
      <c r="E117" s="74"/>
    </row>
    <row r="118" ht="15.75" customHeight="1">
      <c r="D118" s="74"/>
      <c r="E118" s="74"/>
    </row>
    <row r="119" ht="15.75" customHeight="1">
      <c r="D119" s="74"/>
      <c r="E119" s="74"/>
    </row>
    <row r="120" ht="15.75" customHeight="1">
      <c r="D120" s="74"/>
      <c r="E120" s="74"/>
    </row>
    <row r="121" ht="15.75" customHeight="1">
      <c r="D121" s="74"/>
      <c r="E121" s="74"/>
    </row>
    <row r="122" ht="15.75" customHeight="1">
      <c r="D122" s="74"/>
      <c r="E122" s="74"/>
    </row>
    <row r="123" ht="15.75" customHeight="1">
      <c r="D123" s="74"/>
      <c r="E123" s="74"/>
    </row>
    <row r="124" ht="15.75" customHeight="1">
      <c r="D124" s="74"/>
      <c r="E124" s="74"/>
    </row>
    <row r="125" ht="15.75" customHeight="1">
      <c r="D125" s="74"/>
      <c r="E125" s="74"/>
    </row>
    <row r="126" ht="15.75" customHeight="1">
      <c r="D126" s="74"/>
      <c r="E126" s="74"/>
    </row>
    <row r="127" ht="15.75" customHeight="1">
      <c r="D127" s="74"/>
      <c r="E127" s="74"/>
    </row>
    <row r="128" ht="15.75" customHeight="1">
      <c r="D128" s="74"/>
      <c r="E128" s="74"/>
    </row>
    <row r="129" ht="15.75" customHeight="1">
      <c r="D129" s="74"/>
      <c r="E129" s="74"/>
    </row>
    <row r="130" ht="15.75" customHeight="1">
      <c r="D130" s="74"/>
      <c r="E130" s="74"/>
    </row>
    <row r="131" ht="15.75" customHeight="1">
      <c r="D131" s="74"/>
      <c r="E131" s="74"/>
    </row>
    <row r="132" ht="15.75" customHeight="1">
      <c r="D132" s="74"/>
      <c r="E132" s="74"/>
    </row>
    <row r="133" ht="15.75" customHeight="1">
      <c r="D133" s="74"/>
      <c r="E133" s="74"/>
    </row>
    <row r="134" ht="15.75" customHeight="1">
      <c r="D134" s="74"/>
      <c r="E134" s="74"/>
    </row>
    <row r="135" ht="15.75" customHeight="1">
      <c r="D135" s="74"/>
      <c r="E135" s="74"/>
    </row>
    <row r="136" ht="15.75" customHeight="1">
      <c r="D136" s="74"/>
      <c r="E136" s="74"/>
    </row>
    <row r="137" ht="15.75" customHeight="1">
      <c r="D137" s="74"/>
      <c r="E137" s="74"/>
    </row>
    <row r="138" ht="15.75" customHeight="1">
      <c r="D138" s="74"/>
      <c r="E138" s="74"/>
    </row>
    <row r="139" ht="15.75" customHeight="1">
      <c r="D139" s="74"/>
      <c r="E139" s="74"/>
    </row>
    <row r="140" ht="15.75" customHeight="1">
      <c r="D140" s="74"/>
      <c r="E140" s="74"/>
    </row>
    <row r="141" ht="15.75" customHeight="1">
      <c r="D141" s="74"/>
      <c r="E141" s="74"/>
    </row>
    <row r="142" ht="15.75" customHeight="1">
      <c r="D142" s="74"/>
      <c r="E142" s="74"/>
    </row>
    <row r="143" ht="15.75" customHeight="1">
      <c r="D143" s="74"/>
      <c r="E143" s="74"/>
    </row>
    <row r="144" ht="15.75" customHeight="1">
      <c r="D144" s="74"/>
      <c r="E144" s="74"/>
    </row>
    <row r="145" ht="15.75" customHeight="1">
      <c r="D145" s="74"/>
      <c r="E145" s="74"/>
    </row>
    <row r="146" ht="15.75" customHeight="1">
      <c r="D146" s="74"/>
      <c r="E146" s="74"/>
    </row>
    <row r="147" ht="15.75" customHeight="1">
      <c r="D147" s="74"/>
      <c r="E147" s="74"/>
    </row>
    <row r="148" ht="15.75" customHeight="1">
      <c r="D148" s="74"/>
      <c r="E148" s="74"/>
    </row>
    <row r="149" ht="15.75" customHeight="1">
      <c r="D149" s="74"/>
      <c r="E149" s="74"/>
    </row>
    <row r="150" ht="15.75" customHeight="1">
      <c r="D150" s="74"/>
      <c r="E150" s="74"/>
    </row>
    <row r="151" ht="15.75" customHeight="1">
      <c r="D151" s="74"/>
      <c r="E151" s="74"/>
    </row>
    <row r="152" ht="15.75" customHeight="1">
      <c r="D152" s="74"/>
      <c r="E152" s="74"/>
    </row>
    <row r="153" ht="15.75" customHeight="1">
      <c r="D153" s="74"/>
      <c r="E153" s="74"/>
    </row>
    <row r="154" ht="15.75" customHeight="1">
      <c r="D154" s="74"/>
      <c r="E154" s="74"/>
    </row>
    <row r="155" ht="15.75" customHeight="1">
      <c r="D155" s="74"/>
      <c r="E155" s="74"/>
    </row>
    <row r="156" ht="15.75" customHeight="1">
      <c r="D156" s="74"/>
      <c r="E156" s="74"/>
    </row>
    <row r="157" ht="15.75" customHeight="1">
      <c r="D157" s="74"/>
      <c r="E157" s="74"/>
    </row>
    <row r="158" ht="15.75" customHeight="1">
      <c r="D158" s="74"/>
      <c r="E158" s="74"/>
    </row>
    <row r="159" ht="15.75" customHeight="1">
      <c r="D159" s="74"/>
      <c r="E159" s="74"/>
    </row>
    <row r="160" ht="15.75" customHeight="1">
      <c r="D160" s="74"/>
      <c r="E160" s="74"/>
    </row>
    <row r="161" ht="15.75" customHeight="1">
      <c r="D161" s="74"/>
      <c r="E161" s="74"/>
    </row>
    <row r="162" ht="15.75" customHeight="1">
      <c r="D162" s="74"/>
      <c r="E162" s="74"/>
    </row>
    <row r="163" ht="15.75" customHeight="1">
      <c r="D163" s="74"/>
      <c r="E163" s="74"/>
    </row>
    <row r="164" ht="15.75" customHeight="1">
      <c r="D164" s="74"/>
      <c r="E164" s="74"/>
    </row>
    <row r="165" ht="15.75" customHeight="1">
      <c r="D165" s="74"/>
      <c r="E165" s="74"/>
    </row>
    <row r="166" ht="15.75" customHeight="1">
      <c r="D166" s="74"/>
      <c r="E166" s="74"/>
    </row>
    <row r="167" ht="15.75" customHeight="1">
      <c r="D167" s="74"/>
      <c r="E167" s="74"/>
    </row>
    <row r="168" ht="15.75" customHeight="1">
      <c r="D168" s="74"/>
      <c r="E168" s="74"/>
    </row>
    <row r="169" ht="15.75" customHeight="1">
      <c r="D169" s="74"/>
      <c r="E169" s="74"/>
    </row>
    <row r="170" ht="15.75" customHeight="1">
      <c r="D170" s="74"/>
      <c r="E170" s="74"/>
    </row>
    <row r="171" ht="15.75" customHeight="1">
      <c r="D171" s="74"/>
      <c r="E171" s="74"/>
    </row>
    <row r="172" ht="15.75" customHeight="1">
      <c r="D172" s="74"/>
      <c r="E172" s="74"/>
    </row>
    <row r="173" ht="15.75" customHeight="1">
      <c r="D173" s="74"/>
      <c r="E173" s="74"/>
    </row>
    <row r="174" ht="15.75" customHeight="1">
      <c r="D174" s="74"/>
      <c r="E174" s="74"/>
    </row>
    <row r="175" ht="15.75" customHeight="1">
      <c r="D175" s="74"/>
      <c r="E175" s="74"/>
    </row>
    <row r="176" ht="15.75" customHeight="1">
      <c r="D176" s="74"/>
      <c r="E176" s="74"/>
    </row>
    <row r="177" ht="15.75" customHeight="1">
      <c r="D177" s="74"/>
      <c r="E177" s="74"/>
    </row>
    <row r="178" ht="15.75" customHeight="1">
      <c r="D178" s="74"/>
      <c r="E178" s="74"/>
    </row>
    <row r="179" ht="15.75" customHeight="1">
      <c r="D179" s="74"/>
      <c r="E179" s="74"/>
    </row>
    <row r="180" ht="15.75" customHeight="1">
      <c r="D180" s="74"/>
      <c r="E180" s="74"/>
    </row>
    <row r="181" ht="15.75" customHeight="1">
      <c r="D181" s="74"/>
      <c r="E181" s="74"/>
    </row>
    <row r="182" ht="15.75" customHeight="1">
      <c r="D182" s="74"/>
      <c r="E182" s="74"/>
    </row>
    <row r="183" ht="15.75" customHeight="1">
      <c r="D183" s="74"/>
      <c r="E183" s="74"/>
    </row>
    <row r="184" ht="15.75" customHeight="1">
      <c r="D184" s="74"/>
      <c r="E184" s="74"/>
    </row>
    <row r="185" ht="15.75" customHeight="1">
      <c r="D185" s="74"/>
      <c r="E185" s="74"/>
    </row>
    <row r="186" ht="15.75" customHeight="1">
      <c r="D186" s="74"/>
      <c r="E186" s="74"/>
    </row>
    <row r="187" ht="15.75" customHeight="1">
      <c r="D187" s="74"/>
      <c r="E187" s="74"/>
    </row>
    <row r="188" ht="15.75" customHeight="1">
      <c r="D188" s="74"/>
      <c r="E188" s="74"/>
    </row>
    <row r="189" ht="15.75" customHeight="1">
      <c r="D189" s="74"/>
      <c r="E189" s="74"/>
    </row>
    <row r="190" ht="15.75" customHeight="1">
      <c r="D190" s="74"/>
      <c r="E190" s="74"/>
    </row>
    <row r="191" ht="15.75" customHeight="1">
      <c r="D191" s="74"/>
      <c r="E191" s="74"/>
    </row>
    <row r="192" ht="15.75" customHeight="1">
      <c r="D192" s="74"/>
      <c r="E192" s="74"/>
    </row>
    <row r="193" ht="15.75" customHeight="1">
      <c r="D193" s="74"/>
      <c r="E193" s="74"/>
    </row>
    <row r="194" ht="15.75" customHeight="1">
      <c r="D194" s="74"/>
      <c r="E194" s="74"/>
    </row>
    <row r="195" ht="15.75" customHeight="1">
      <c r="D195" s="74"/>
      <c r="E195" s="74"/>
    </row>
    <row r="196" ht="15.75" customHeight="1">
      <c r="D196" s="74"/>
      <c r="E196" s="74"/>
    </row>
    <row r="197" ht="15.75" customHeight="1">
      <c r="D197" s="74"/>
      <c r="E197" s="74"/>
    </row>
    <row r="198" ht="15.75" customHeight="1">
      <c r="D198" s="74"/>
      <c r="E198" s="74"/>
    </row>
    <row r="199" ht="15.75" customHeight="1">
      <c r="D199" s="74"/>
      <c r="E199" s="74"/>
    </row>
    <row r="200" ht="15.75" customHeight="1">
      <c r="D200" s="74"/>
      <c r="E200" s="74"/>
    </row>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L1"/>
    <mergeCell ref="A2:L2"/>
  </mergeCells>
  <conditionalFormatting sqref="J4:J1000">
    <cfRule type="colorScale" priority="1">
      <colorScale>
        <cfvo type="formula" val="1"/>
        <cfvo type="formula" val="3"/>
        <cfvo type="formula" val="5"/>
        <color rgb="FFC0392B"/>
        <color rgb="FFF39C12"/>
        <color rgb="FF27AE60"/>
      </colorScale>
    </cfRule>
  </conditionalFormatting>
  <dataValidations>
    <dataValidation type="list" allowBlank="1" sqref="D4:D200">
      <formula1>"Digital Outreach,Mentoring &amp; Teaching,Chemistry Communication,Public Engagement,STEM Promotion,Competition Entry,Other"</formula1>
    </dataValidation>
    <dataValidation type="list" allowBlank="1" sqref="E4:E200">
      <formula1>"Instagram Post/Carousel,Blog Article,Workshop Delivery,Test Score Data,Before/After Writing,Photo Evidence,Video,Metric Screenshot,Testimonial,Certificate"</formula1>
    </dataValidation>
  </dataValidations>
  <printOptions/>
  <pageMargins bottom="1.0" footer="0.0" header="0.0" left="0.75" right="0.75" top="1.0"/>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8.0"/>
    <col customWidth="1" min="2" max="2" width="16.0"/>
    <col customWidth="1" min="3" max="3" width="26.0"/>
    <col customWidth="1" min="4" max="4" width="32.0"/>
    <col customWidth="1" min="5" max="26" width="8.71"/>
  </cols>
  <sheetData>
    <row r="1" ht="31.5" customHeight="1">
      <c r="A1" s="151" t="s">
        <v>408</v>
      </c>
      <c r="B1" s="2"/>
      <c r="C1" s="2"/>
      <c r="D1" s="2"/>
      <c r="E1" s="2"/>
      <c r="F1" s="2"/>
      <c r="G1" s="2"/>
      <c r="H1" s="2"/>
      <c r="I1" s="2"/>
      <c r="J1" s="3"/>
    </row>
    <row r="2" ht="19.5" customHeight="1">
      <c r="A2" s="152" t="s">
        <v>409</v>
      </c>
      <c r="B2" s="2"/>
      <c r="C2" s="2"/>
      <c r="D2" s="2"/>
      <c r="E2" s="2"/>
      <c r="F2" s="2"/>
      <c r="G2" s="2"/>
      <c r="H2" s="2"/>
      <c r="I2" s="2"/>
      <c r="J2" s="3"/>
    </row>
    <row r="4" ht="21.75" customHeight="1">
      <c r="A4" s="153" t="s">
        <v>410</v>
      </c>
      <c r="B4" s="16"/>
      <c r="C4" s="16"/>
      <c r="D4" s="16"/>
      <c r="E4" s="16"/>
      <c r="F4" s="16"/>
      <c r="G4" s="16"/>
      <c r="H4" s="16"/>
      <c r="I4" s="16"/>
      <c r="J4" s="12"/>
    </row>
    <row r="5" ht="51.75" customHeight="1">
      <c r="A5" s="154" t="s">
        <v>411</v>
      </c>
      <c r="B5" s="16"/>
      <c r="C5" s="16"/>
      <c r="D5" s="16"/>
      <c r="E5" s="16"/>
      <c r="F5" s="16"/>
      <c r="G5" s="16"/>
      <c r="H5" s="16"/>
      <c r="I5" s="16"/>
      <c r="J5" s="12"/>
    </row>
    <row r="7" ht="21.75" customHeight="1">
      <c r="A7" s="153" t="s">
        <v>412</v>
      </c>
      <c r="B7" s="16"/>
      <c r="C7" s="16"/>
      <c r="D7" s="16"/>
      <c r="E7" s="16"/>
      <c r="F7" s="16"/>
      <c r="G7" s="16"/>
      <c r="H7" s="16"/>
      <c r="I7" s="16"/>
      <c r="J7" s="12"/>
    </row>
    <row r="8" ht="36.0" customHeight="1">
      <c r="A8" s="155" t="s">
        <v>413</v>
      </c>
      <c r="B8" s="155" t="s">
        <v>414</v>
      </c>
      <c r="C8" s="155" t="s">
        <v>415</v>
      </c>
      <c r="D8" s="155" t="s">
        <v>416</v>
      </c>
    </row>
    <row r="9" ht="25.5" customHeight="1">
      <c r="A9" s="156" t="s">
        <v>417</v>
      </c>
      <c r="B9" s="124" t="s">
        <v>418</v>
      </c>
      <c r="C9" s="124">
        <f>COUNTA('👥 MEMBER REGISTRY'!B4:B200)</f>
        <v>23</v>
      </c>
      <c r="D9" s="148" t="s">
        <v>419</v>
      </c>
    </row>
    <row r="10" ht="25.5" customHeight="1">
      <c r="A10" s="157" t="s">
        <v>420</v>
      </c>
      <c r="B10" s="84" t="s">
        <v>421</v>
      </c>
      <c r="C10" s="84">
        <f>'📅 SESSION LOG'!B2</f>
        <v>14</v>
      </c>
      <c r="D10" s="158" t="s">
        <v>422</v>
      </c>
    </row>
    <row r="11" ht="25.5" customHeight="1">
      <c r="A11" s="156" t="s">
        <v>423</v>
      </c>
      <c r="B11" s="124" t="s">
        <v>424</v>
      </c>
      <c r="C11" s="144">
        <f>IFERROR(AVERAGE('🧪 TEST SCORES'!L4:L200),"")</f>
        <v>0.06040609137</v>
      </c>
      <c r="D11" s="148" t="s">
        <v>425</v>
      </c>
    </row>
    <row r="12" ht="25.5" customHeight="1">
      <c r="A12" s="157" t="s">
        <v>426</v>
      </c>
      <c r="B12" s="84" t="s">
        <v>427</v>
      </c>
      <c r="C12" s="146">
        <f>IFERROR(AVERAGE('🧪 TEST SCORES'!K4:K200),"")</f>
        <v>0.5483333333</v>
      </c>
      <c r="D12" s="158" t="s">
        <v>428</v>
      </c>
    </row>
    <row r="13" ht="25.5" customHeight="1">
      <c r="A13" s="156" t="s">
        <v>429</v>
      </c>
      <c r="B13" s="124" t="s">
        <v>430</v>
      </c>
      <c r="C13" s="124">
        <f>COUNTA('✍️ WRITING QUALITY'!O4:O200)</f>
        <v>0</v>
      </c>
      <c r="D13" s="148" t="s">
        <v>431</v>
      </c>
    </row>
    <row r="14" ht="25.5" customHeight="1">
      <c r="A14" s="157" t="s">
        <v>432</v>
      </c>
      <c r="B14" s="84" t="s">
        <v>418</v>
      </c>
      <c r="C14" s="84">
        <f>COUNTA('🏆 RSC EVIDENCE LOG'!C4:C200)</f>
        <v>4</v>
      </c>
      <c r="D14" s="158" t="s">
        <v>433</v>
      </c>
    </row>
    <row r="15" ht="25.5" customHeight="1">
      <c r="A15" s="156" t="s">
        <v>434</v>
      </c>
      <c r="B15" s="124" t="s">
        <v>435</v>
      </c>
      <c r="C15" s="124">
        <f>COUNTIF('🧪 TEST SCORES'!L4:L200,"&gt;0.1")</f>
        <v>22</v>
      </c>
      <c r="D15" s="148" t="s">
        <v>436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J1"/>
    <mergeCell ref="A2:J2"/>
    <mergeCell ref="A4:J4"/>
    <mergeCell ref="A5:J5"/>
    <mergeCell ref="A7:J7"/>
  </mergeCells>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2026-03-05T07:40:19Z</dcterms:created>
  <dc:creator>openpyxl</dc:creator>
</cp:coreProperties>
</file>

<file path=docProps/custom.xml><?xml version="1.0" encoding="utf-8"?>
<Properties xmlns="http://schemas.openxmlformats.org/officeDocument/2006/custom-properties" xmlns:vt="http://schemas.openxmlformats.org/officeDocument/2006/docPropsVTypes"/>
</file>